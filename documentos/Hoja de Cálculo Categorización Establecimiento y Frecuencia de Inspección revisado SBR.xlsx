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BR\Sistema Basado en Riesgo (SBR)\"/>
    </mc:Choice>
  </mc:AlternateContent>
  <xr:revisionPtr revIDLastSave="0" documentId="13_ncr:1_{7481318F-8FED-4A3D-ACF0-25E7BC35CF32}" xr6:coauthVersionLast="47" xr6:coauthVersionMax="47" xr10:uidLastSave="{00000000-0000-0000-0000-000000000000}"/>
  <bookViews>
    <workbookView xWindow="-96" yWindow="-96" windowWidth="23232" windowHeight="13872" xr2:uid="{420AC5E8-7B7A-41EF-8E19-95BE35F7787C}"/>
  </bookViews>
  <sheets>
    <sheet name="Frecuencia Inspección" sheetId="8" r:id="rId1"/>
    <sheet name="Hoja2" sheetId="10" r:id="rId2"/>
    <sheet name="San Martín de Porres" sheetId="7" state="hidden" r:id="rId3"/>
    <sheet name="Goya Santo Domingo" sheetId="2" state="hidden" r:id="rId4"/>
    <sheet name="Profuveca" sheetId="9" state="hidden" r:id="rId5"/>
    <sheet name="Frecuencia Inspección (2)" sheetId="3" state="hidden" r:id="rId6"/>
    <sheet name="Frecuencia Inspección (3)" sheetId="4" state="hidden" r:id="rId7"/>
    <sheet name="Frecuencia Inspección (4)" sheetId="5" state="hidden" r:id="rId8"/>
    <sheet name="Hoja1" sheetId="6" state="hidden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8" i="8" l="1" a="1"/>
  <c r="X18" i="8" s="1"/>
  <c r="AE27" i="8"/>
  <c r="AE26" i="8"/>
  <c r="AE25" i="8"/>
  <c r="AE24" i="8"/>
  <c r="AE23" i="8" l="1"/>
  <c r="AK23" i="8" s="1"/>
  <c r="AE22" i="8"/>
  <c r="AK22" i="8" s="1"/>
  <c r="F32" i="8"/>
  <c r="AP57" i="9"/>
  <c r="AQ59" i="9" s="1"/>
  <c r="AV51" i="9"/>
  <c r="AU51" i="9"/>
  <c r="AQ51" i="9"/>
  <c r="AP51" i="9"/>
  <c r="AV50" i="9"/>
  <c r="AU50" i="9"/>
  <c r="AQ50" i="9"/>
  <c r="AP50" i="9"/>
  <c r="AV49" i="9"/>
  <c r="AU49" i="9"/>
  <c r="AQ49" i="9"/>
  <c r="AP49" i="9"/>
  <c r="AV48" i="9"/>
  <c r="AU48" i="9"/>
  <c r="AQ48" i="9"/>
  <c r="AP48" i="9"/>
  <c r="AV47" i="9"/>
  <c r="AU47" i="9"/>
  <c r="AQ47" i="9"/>
  <c r="AP47" i="9"/>
  <c r="AV46" i="9"/>
  <c r="AU46" i="9"/>
  <c r="AQ46" i="9"/>
  <c r="AQ52" i="9" s="1"/>
  <c r="AP46" i="9"/>
  <c r="F29" i="9"/>
  <c r="AK23" i="9"/>
  <c r="AK22" i="9"/>
  <c r="AK21" i="9"/>
  <c r="AK20" i="9"/>
  <c r="AK19" i="9"/>
  <c r="AK18" i="9"/>
  <c r="AP60" i="8"/>
  <c r="AQ62" i="8" s="1"/>
  <c r="AV54" i="8"/>
  <c r="AU54" i="8"/>
  <c r="AQ54" i="8"/>
  <c r="AP54" i="8"/>
  <c r="AV53" i="8"/>
  <c r="AU53" i="8"/>
  <c r="AQ53" i="8"/>
  <c r="AP53" i="8"/>
  <c r="AV52" i="8"/>
  <c r="AU52" i="8"/>
  <c r="AQ52" i="8"/>
  <c r="AP52" i="8"/>
  <c r="AV51" i="8"/>
  <c r="AU51" i="8"/>
  <c r="AQ51" i="8"/>
  <c r="AP51" i="8"/>
  <c r="AV50" i="8"/>
  <c r="AU50" i="8"/>
  <c r="AQ50" i="8"/>
  <c r="AP50" i="8"/>
  <c r="AV49" i="8"/>
  <c r="AU49" i="8"/>
  <c r="AQ49" i="8"/>
  <c r="AP49" i="8"/>
  <c r="AK27" i="8"/>
  <c r="AK26" i="8"/>
  <c r="AK25" i="8"/>
  <c r="AK24" i="8"/>
  <c r="AP52" i="9" l="1"/>
  <c r="AU52" i="9"/>
  <c r="AV52" i="9"/>
  <c r="AU55" i="8"/>
  <c r="AQ55" i="8"/>
  <c r="AV55" i="8"/>
  <c r="AP55" i="8"/>
  <c r="AK24" i="9"/>
  <c r="L29" i="9" s="1"/>
  <c r="P29" i="9" s="1"/>
  <c r="H40" i="9" s="1"/>
  <c r="AU54" i="9"/>
  <c r="AU56" i="9" s="1"/>
  <c r="AK28" i="8"/>
  <c r="L32" i="8" s="1"/>
  <c r="P32" i="8" s="1"/>
  <c r="H43" i="8" s="1"/>
  <c r="N44" i="8" s="1"/>
  <c r="AU57" i="8" l="1"/>
  <c r="AU59" i="8" s="1"/>
  <c r="AV62" i="8" s="1"/>
  <c r="AV59" i="9"/>
  <c r="AV58" i="9"/>
  <c r="AV61" i="8" l="1"/>
  <c r="X36" i="3"/>
  <c r="AP57" i="7"/>
  <c r="AQ59" i="7" s="1"/>
  <c r="AV51" i="7"/>
  <c r="AU51" i="7"/>
  <c r="AQ51" i="7"/>
  <c r="AP51" i="7"/>
  <c r="AV50" i="7"/>
  <c r="AU50" i="7"/>
  <c r="AQ50" i="7"/>
  <c r="AP50" i="7"/>
  <c r="AV49" i="7"/>
  <c r="AU49" i="7"/>
  <c r="AQ49" i="7"/>
  <c r="AP49" i="7"/>
  <c r="AV48" i="7"/>
  <c r="AU48" i="7"/>
  <c r="AQ48" i="7"/>
  <c r="AP48" i="7"/>
  <c r="AV47" i="7"/>
  <c r="AU47" i="7"/>
  <c r="AQ47" i="7"/>
  <c r="AP47" i="7"/>
  <c r="AV46" i="7"/>
  <c r="AU46" i="7"/>
  <c r="AQ46" i="7"/>
  <c r="AP46" i="7"/>
  <c r="F29" i="7"/>
  <c r="AK23" i="7"/>
  <c r="AK22" i="7"/>
  <c r="AK21" i="7"/>
  <c r="AK20" i="7"/>
  <c r="AK19" i="7"/>
  <c r="AK18" i="7"/>
  <c r="F29" i="2"/>
  <c r="AP52" i="7" l="1"/>
  <c r="AU52" i="7"/>
  <c r="AV52" i="7"/>
  <c r="AQ52" i="7"/>
  <c r="AK24" i="7"/>
  <c r="L29" i="7" s="1"/>
  <c r="P29" i="7" s="1"/>
  <c r="H40" i="7" s="1"/>
  <c r="AU54" i="7"/>
  <c r="AU56" i="7" s="1"/>
  <c r="AV59" i="7" l="1"/>
  <c r="AV58" i="7"/>
  <c r="AP57" i="2" l="1"/>
  <c r="V55" i="5"/>
  <c r="G17" i="6"/>
  <c r="J14" i="6"/>
  <c r="K14" i="6"/>
  <c r="J15" i="6"/>
  <c r="K15" i="6"/>
  <c r="J16" i="6"/>
  <c r="K16" i="6"/>
  <c r="K13" i="6"/>
  <c r="K17" i="6" s="1"/>
  <c r="J13" i="6"/>
  <c r="J17" i="6" s="1"/>
  <c r="W66" i="4"/>
  <c r="V65" i="4"/>
  <c r="AA64" i="4"/>
  <c r="Z65" i="4" s="1"/>
  <c r="AA66" i="4" s="1"/>
  <c r="Z64" i="4"/>
  <c r="AA47" i="4"/>
  <c r="V47" i="4"/>
  <c r="AB40" i="5"/>
  <c r="AA40" i="5"/>
  <c r="W40" i="5"/>
  <c r="V40" i="5"/>
  <c r="AB39" i="5"/>
  <c r="AA39" i="5"/>
  <c r="W39" i="5"/>
  <c r="V39" i="5"/>
  <c r="AB38" i="5"/>
  <c r="AA38" i="5"/>
  <c r="W38" i="5"/>
  <c r="V38" i="5"/>
  <c r="AB37" i="5"/>
  <c r="AA37" i="5"/>
  <c r="W37" i="5"/>
  <c r="V37" i="5"/>
  <c r="AB36" i="5"/>
  <c r="AA36" i="5"/>
  <c r="W36" i="5"/>
  <c r="V36" i="5"/>
  <c r="AB35" i="5"/>
  <c r="AA35" i="5"/>
  <c r="W35" i="5"/>
  <c r="W41" i="5" s="1"/>
  <c r="V35" i="5"/>
  <c r="V41" i="5" s="1"/>
  <c r="R12" i="5"/>
  <c r="R11" i="5"/>
  <c r="R10" i="5"/>
  <c r="R9" i="5"/>
  <c r="R8" i="5"/>
  <c r="R7" i="5"/>
  <c r="AB40" i="4"/>
  <c r="AA40" i="4"/>
  <c r="W40" i="4"/>
  <c r="V40" i="4"/>
  <c r="AB39" i="4"/>
  <c r="AA39" i="4"/>
  <c r="W39" i="4"/>
  <c r="V39" i="4"/>
  <c r="AB38" i="4"/>
  <c r="AA38" i="4"/>
  <c r="W38" i="4"/>
  <c r="V38" i="4"/>
  <c r="AB37" i="4"/>
  <c r="AA37" i="4"/>
  <c r="W37" i="4"/>
  <c r="V37" i="4"/>
  <c r="AB36" i="4"/>
  <c r="AA36" i="4"/>
  <c r="W36" i="4"/>
  <c r="V36" i="4"/>
  <c r="AB35" i="4"/>
  <c r="AA35" i="4"/>
  <c r="W35" i="4"/>
  <c r="V35" i="4"/>
  <c r="R12" i="4"/>
  <c r="R11" i="4"/>
  <c r="R10" i="4"/>
  <c r="R9" i="4"/>
  <c r="R8" i="4"/>
  <c r="R7" i="4"/>
  <c r="AU47" i="2"/>
  <c r="AV47" i="2"/>
  <c r="AU48" i="2"/>
  <c r="AV48" i="2"/>
  <c r="AU49" i="2"/>
  <c r="AV49" i="2"/>
  <c r="AU50" i="2"/>
  <c r="AV50" i="2"/>
  <c r="AU51" i="2"/>
  <c r="AV51" i="2"/>
  <c r="AV46" i="2"/>
  <c r="AU46" i="2"/>
  <c r="AP47" i="2"/>
  <c r="AQ47" i="2"/>
  <c r="AP48" i="2"/>
  <c r="AQ48" i="2"/>
  <c r="AP49" i="2"/>
  <c r="AQ49" i="2"/>
  <c r="AP50" i="2"/>
  <c r="AQ50" i="2"/>
  <c r="AP51" i="2"/>
  <c r="AQ51" i="2"/>
  <c r="AQ46" i="2"/>
  <c r="AP46" i="2"/>
  <c r="D54" i="3"/>
  <c r="K41" i="3"/>
  <c r="L41" i="3"/>
  <c r="K42" i="3"/>
  <c r="L42" i="3"/>
  <c r="K43" i="3"/>
  <c r="L43" i="3"/>
  <c r="K44" i="3"/>
  <c r="L44" i="3"/>
  <c r="K45" i="3"/>
  <c r="L45" i="3"/>
  <c r="L40" i="3"/>
  <c r="K40" i="3"/>
  <c r="Q45" i="3"/>
  <c r="P45" i="3"/>
  <c r="Q44" i="3"/>
  <c r="P44" i="3"/>
  <c r="Q43" i="3"/>
  <c r="P43" i="3"/>
  <c r="Q42" i="3"/>
  <c r="P42" i="3"/>
  <c r="Q41" i="3"/>
  <c r="P41" i="3"/>
  <c r="Q40" i="3"/>
  <c r="P40" i="3"/>
  <c r="R12" i="3"/>
  <c r="R11" i="3"/>
  <c r="R10" i="3"/>
  <c r="R9" i="3"/>
  <c r="R8" i="3"/>
  <c r="R7" i="3"/>
  <c r="AK23" i="2"/>
  <c r="AK22" i="2"/>
  <c r="AK21" i="2"/>
  <c r="AK20" i="2"/>
  <c r="AK19" i="2"/>
  <c r="AK18" i="2"/>
  <c r="AA41" i="5" l="1"/>
  <c r="AB41" i="5"/>
  <c r="K46" i="3"/>
  <c r="L46" i="3"/>
  <c r="P54" i="3"/>
  <c r="K47" i="3"/>
  <c r="K48" i="3" s="1"/>
  <c r="P55" i="3"/>
  <c r="Q54" i="3"/>
  <c r="T54" i="3" s="1"/>
  <c r="U54" i="3" s="1"/>
  <c r="Q55" i="3"/>
  <c r="L47" i="3"/>
  <c r="L48" i="3" s="1"/>
  <c r="V43" i="5"/>
  <c r="V45" i="5" s="1"/>
  <c r="W47" i="5" s="1"/>
  <c r="W41" i="4"/>
  <c r="AA43" i="5"/>
  <c r="AA45" i="5" s="1"/>
  <c r="AB48" i="5" s="1"/>
  <c r="AA41" i="4"/>
  <c r="AA43" i="4" s="1"/>
  <c r="AB41" i="4"/>
  <c r="AA49" i="4" s="1"/>
  <c r="AB53" i="4" s="1"/>
  <c r="V41" i="4"/>
  <c r="AK24" i="2"/>
  <c r="L29" i="2" s="1"/>
  <c r="P29" i="2" s="1"/>
  <c r="H40" i="2" s="1"/>
  <c r="AU52" i="2"/>
  <c r="AQ52" i="2"/>
  <c r="AP52" i="2"/>
  <c r="AV52" i="2"/>
  <c r="AQ59" i="2"/>
  <c r="R13" i="5"/>
  <c r="E32" i="5" s="1"/>
  <c r="R13" i="4"/>
  <c r="V49" i="4"/>
  <c r="W53" i="4" s="1"/>
  <c r="E34" i="4"/>
  <c r="P46" i="3"/>
  <c r="P47" i="3" s="1"/>
  <c r="P48" i="3" s="1"/>
  <c r="Q46" i="3"/>
  <c r="Q47" i="3" s="1"/>
  <c r="Q48" i="3" s="1"/>
  <c r="R13" i="3"/>
  <c r="E24" i="3" s="1"/>
  <c r="AB47" i="5" l="1"/>
  <c r="E34" i="5"/>
  <c r="W48" i="5"/>
  <c r="AB51" i="4"/>
  <c r="T55" i="3"/>
  <c r="U55" i="3" s="1"/>
  <c r="K50" i="3"/>
  <c r="E48" i="3"/>
  <c r="G48" i="3" s="1"/>
  <c r="AB52" i="4"/>
  <c r="R57" i="3"/>
  <c r="R56" i="3"/>
  <c r="R58" i="3"/>
  <c r="AU54" i="2"/>
  <c r="AU56" i="2" s="1"/>
  <c r="AV58" i="2" s="1"/>
  <c r="R14" i="4"/>
  <c r="F81" i="4" s="1"/>
  <c r="F77" i="4"/>
  <c r="E32" i="4"/>
  <c r="W52" i="4"/>
  <c r="W51" i="4"/>
  <c r="T48" i="3"/>
  <c r="U48" i="3" s="1"/>
  <c r="L51" i="3" l="1"/>
  <c r="L52" i="3"/>
  <c r="L50" i="3"/>
  <c r="R62" i="3"/>
  <c r="R61" i="3"/>
  <c r="R60" i="3"/>
  <c r="AV59" i="2"/>
  <c r="R51" i="3"/>
  <c r="R52" i="3"/>
  <c r="R5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tc={4DF6C707-E5F6-4A6F-A27D-999AA3D8E018}</author>
  </authors>
  <commentList>
    <comment ref="N5" authorId="0" shapeId="0" xr:uid="{4DF6C707-E5F6-4A6F-A27D-999AA3D8E0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Agregar la lista de categorías de alimento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<sst xmlns="http://schemas.openxmlformats.org/spreadsheetml/2006/main" count="856" uniqueCount="173">
  <si>
    <t>HOJA DE CÁLCULO PARA SISTEMA DE INSPECCIÓN BASADA EN RIESGOS</t>
  </si>
  <si>
    <t>CATEGORIZACIÓN DEL ESTABLECIMIENTO</t>
  </si>
  <si>
    <t>Factores de Riesgo</t>
  </si>
  <si>
    <t>Volumen de producción</t>
  </si>
  <si>
    <t>Implementación sistema HACCP</t>
  </si>
  <si>
    <t>Cumplimiento con las BPM</t>
  </si>
  <si>
    <t>Proveedor INABIE</t>
  </si>
  <si>
    <t>Rechazos Registros Sanitarios por incumplimiento microbiológicos</t>
  </si>
  <si>
    <t>Planes de muestreo microbiológico/Análisis de laboratorio</t>
  </si>
  <si>
    <t>No.</t>
  </si>
  <si>
    <t>Puntaje</t>
  </si>
  <si>
    <t>Peso %</t>
  </si>
  <si>
    <t>Valor</t>
  </si>
  <si>
    <t>FRECUENCIA DE INSPECCIÓN</t>
  </si>
  <si>
    <t>Riesgo Total = Riesgo del Producto X Riesgo del Establecimiento</t>
  </si>
  <si>
    <t>Nivel de Riesgo del Establecimiento</t>
  </si>
  <si>
    <t>Bajo</t>
  </si>
  <si>
    <t>Riesgo del Producto</t>
  </si>
  <si>
    <t>Nivel de Riesgo</t>
  </si>
  <si>
    <t>Puntos</t>
  </si>
  <si>
    <t>Alto</t>
  </si>
  <si>
    <t xml:space="preserve">Medio </t>
  </si>
  <si>
    <t>Riesgo Total</t>
  </si>
  <si>
    <t>Matriz de Frecuencia de Inspección</t>
  </si>
  <si>
    <t xml:space="preserve"> Frecuencia de inspección</t>
  </si>
  <si>
    <t xml:space="preserve">1-2 puntos </t>
  </si>
  <si>
    <t>Anual</t>
  </si>
  <si>
    <t xml:space="preserve">3-4 puntos </t>
  </si>
  <si>
    <t>Semestral</t>
  </si>
  <si>
    <t>Trimestral</t>
  </si>
  <si>
    <t>Grande (&gt;2 000 000 por mes) (8 puntos [p])</t>
  </si>
  <si>
    <t>Mediano (800 000-2 000 000 por mes) (6 p)</t>
  </si>
  <si>
    <t>Pequeño (200 000-799 000 por mes) (4 p)</t>
  </si>
  <si>
    <t xml:space="preserve"> Micro (&lt;200 000 por mes) (2 p)</t>
  </si>
  <si>
    <t>No tiene implementado el sistema HACCP (8 p)</t>
  </si>
  <si>
    <t>Tiene implementado el HACCP en el 25% de las líneas de producción (6 p)</t>
  </si>
  <si>
    <t>Tiene implementado el HACCP en el 75% de las líneas de producción (4 p)</t>
  </si>
  <si>
    <t>Tiene implementado el HACCP en todas las líneas de producción (2 p)</t>
  </si>
  <si>
    <t xml:space="preserve"> 82% - 89% (6 p)</t>
  </si>
  <si>
    <t>90% - 95% (4 p)</t>
  </si>
  <si>
    <t xml:space="preserve"> &gt;95% (2 p)</t>
  </si>
  <si>
    <t>Los productos que elaboran los sirven a nivel nacional (8 p)</t>
  </si>
  <si>
    <t>Los productos que elaboran los sirven a nivel regional (6 p)</t>
  </si>
  <si>
    <t xml:space="preserve"> Los productos que elaboran los sirven a nivel local (4 p)</t>
  </si>
  <si>
    <t>No es suplidor del INABIE (2 P)</t>
  </si>
  <si>
    <t>Tiene más de 2 rechazos en los últimos 5 años (8 p)</t>
  </si>
  <si>
    <t>Tiene 2 rechazos en los últimos 5 años (6 p)</t>
  </si>
  <si>
    <t>Tiene 1 rechazo en los últimos 5 años (4 p)</t>
  </si>
  <si>
    <t>No tiene ningún rechazo en los últimos 5 años (2 p)</t>
  </si>
  <si>
    <t>No cuenta con plan de muestreo microbiológico (8 p)</t>
  </si>
  <si>
    <t>Tiene plan de muestreo microbiológico solo para las materias primas (6 p)</t>
  </si>
  <si>
    <t>Tiene un plan de muestreo microbiológico solo para las áreas de proceso y productos terminados (4 p)</t>
  </si>
  <si>
    <t>Tiene un plan de muestreo microbiológico para las materias primas, las áreas de proceso y productos terminados (2 p)</t>
  </si>
  <si>
    <t>≤ 81% (8 p)</t>
  </si>
  <si>
    <t xml:space="preserve">5-9 puntos </t>
  </si>
  <si>
    <t>Rango</t>
  </si>
  <si>
    <t>Min</t>
  </si>
  <si>
    <t>Max</t>
  </si>
  <si>
    <r>
      <t xml:space="preserve">Planes de muestreo microbiológico/Análisis de </t>
    </r>
    <r>
      <rPr>
        <sz val="11"/>
        <color theme="1"/>
        <rFont val="Times New Roman"/>
        <family val="1"/>
      </rPr>
      <t>laboratorio</t>
    </r>
  </si>
  <si>
    <t>Riesgo alto</t>
  </si>
  <si>
    <t>Riesgo medio</t>
  </si>
  <si>
    <t>Riesgo bajo</t>
  </si>
  <si>
    <t>Cálculo Frecuencia de Inspección</t>
  </si>
  <si>
    <t>PESO</t>
  </si>
  <si>
    <t>VALOR</t>
  </si>
  <si>
    <t>MIN</t>
  </si>
  <si>
    <t>MAX</t>
  </si>
  <si>
    <t>Recorrido</t>
  </si>
  <si>
    <t>Frecuencia</t>
  </si>
  <si>
    <t>Factor</t>
  </si>
  <si>
    <t>Frecuencia de Inspección</t>
  </si>
  <si>
    <t xml:space="preserve">1.0 - 1.7 puntos </t>
  </si>
  <si>
    <t xml:space="preserve">1.8 - 2.5 puntos </t>
  </si>
  <si>
    <t>3, 2, 1</t>
  </si>
  <si>
    <t>6, 4, 2</t>
  </si>
  <si>
    <t xml:space="preserve">2.0 - 3.3 puntos </t>
  </si>
  <si>
    <t xml:space="preserve">3.4 - 4.7 puntos </t>
  </si>
  <si>
    <t xml:space="preserve">4.8 -6.0 puntos </t>
  </si>
  <si>
    <t xml:space="preserve">2.6 - 3.0 puntos </t>
  </si>
  <si>
    <t xml:space="preserve">1.0 - 2.0 puntos </t>
  </si>
  <si>
    <t xml:space="preserve">3.0 - 4.0 puntos </t>
  </si>
  <si>
    <t xml:space="preserve">5.0 - 9.0 puntos </t>
  </si>
  <si>
    <t xml:space="preserve">2.0 - 8.0 puntos </t>
  </si>
  <si>
    <t xml:space="preserve">9.0 - 16.0 puntos </t>
  </si>
  <si>
    <t xml:space="preserve">17.0 - 36.0 puntos </t>
  </si>
  <si>
    <t>Rango 1</t>
  </si>
  <si>
    <t>Rango 2</t>
  </si>
  <si>
    <t>4 - 10.7</t>
  </si>
  <si>
    <t>&gt;10.7 - 21.4</t>
  </si>
  <si>
    <t>&gt; 21.4</t>
  </si>
  <si>
    <t>0.7 - 2.5</t>
  </si>
  <si>
    <t>&gt; 4.3</t>
  </si>
  <si>
    <t>&gt; 2.5 - 4.3</t>
  </si>
  <si>
    <t>Volumen de leche que procesan = 8 x factor = 8 x 0.15 = 1.2</t>
  </si>
  <si>
    <t>Pasteuriza= 2 x factor = 2 x 0.29 = 0.58</t>
  </si>
  <si>
    <t>Puntuación BPM = 2 x factor = 2 x 0.28 = 0.56</t>
  </si>
  <si>
    <t>Riesgo biológico = 2 x factor = 2 x 0.29 = 0.58 </t>
  </si>
  <si>
    <t>Cálculo del riesgo TOTAL = promedio de los factores = (1.2+0.58+0.56+0.58)/4 = 2.92/4 = 0.73. </t>
  </si>
  <si>
    <t>Para calcular la frecuencia de inspección hay que recalcular los rangos:</t>
  </si>
  <si>
    <t>Mínimo: (2*0.15+2*0.29+2*0.28+2*0.29)/4 = 0.5</t>
  </si>
  <si>
    <t>Máximo: (8*0.15+8*0.29+8*0.28+8*0.29)/4 = 2.0</t>
  </si>
  <si>
    <t>Min (2)</t>
  </si>
  <si>
    <t>Maz (8)</t>
  </si>
  <si>
    <t>1 - 3.7</t>
  </si>
  <si>
    <t>&gt; 5.4</t>
  </si>
  <si>
    <t>&gt; 3.7 - 5.4</t>
  </si>
  <si>
    <t>Grande (&gt;2 000 000 por mes) (3 puntos [p])</t>
  </si>
  <si>
    <t>Mediano (800 000-2 000 000 por mes) (2.33 p)</t>
  </si>
  <si>
    <t>Pequeño (200 000-799 000 por mes) (1.67 p)</t>
  </si>
  <si>
    <t xml:space="preserve"> Micro (&lt;200 000 por mes) (1 p)</t>
  </si>
  <si>
    <t>No tiene implementado el sistema HACCP (3 p)</t>
  </si>
  <si>
    <t>Tiene implementado el HACCP en el 25% de las líneas de producción (2.33 p)</t>
  </si>
  <si>
    <t>Tiene implementado el HACCP en el 75% de las líneas de producción (1.67 p)</t>
  </si>
  <si>
    <t>Tiene implementado el HACCP en todas las líneas de producción (1 p)</t>
  </si>
  <si>
    <t>≤ 81% (3 p)</t>
  </si>
  <si>
    <t xml:space="preserve"> 82% - 89% (2.33 p)</t>
  </si>
  <si>
    <t>90% - 95% (1.67 p)</t>
  </si>
  <si>
    <t xml:space="preserve"> &gt;95% (1 p)</t>
  </si>
  <si>
    <t>Los productos que elaboran los sirven a nivel nacional (3 p)</t>
  </si>
  <si>
    <t>Los productos que elaboran los sirven a nivel regional (2.33 p)</t>
  </si>
  <si>
    <t xml:space="preserve"> Los productos que elaboran los sirven a nivel local (1.67 p)</t>
  </si>
  <si>
    <t>No es suplidor del INABIE (1 P)</t>
  </si>
  <si>
    <t>Tiene más de 2 rechazos en los últimos 5 años (3 p)</t>
  </si>
  <si>
    <t>Tiene 2 rechazos en los últimos 5 años (2.33 p)</t>
  </si>
  <si>
    <t>Tiene 1 rechazo en los últimos 5 años (1.67 p)</t>
  </si>
  <si>
    <t>No tiene ningún rechazo en los últimos 5 años (1 p)</t>
  </si>
  <si>
    <t>No cuenta con plan de muestreo microbiológico (3 p)</t>
  </si>
  <si>
    <t>Tiene plan de muestreo microbiológico solo para las materias primas (2.33 p)</t>
  </si>
  <si>
    <t>Tiene un plan de muestreo microbiológico solo para las áreas de proceso y productos terminados (1.67 p)</t>
  </si>
  <si>
    <t>Tiene un plan de muestreo microbiológico para las materias primas, las áreas de proceso y productos terminados (1 p)</t>
  </si>
  <si>
    <t>&gt; 3.7</t>
  </si>
  <si>
    <t>&gt; 6.4</t>
  </si>
  <si>
    <t>Riesgo altp</t>
  </si>
  <si>
    <t>DETERMINACIÓN FRECUENCIA DE INSPECCIÓN</t>
  </si>
  <si>
    <t>Mayor nivel de riesgo productos que elabora</t>
  </si>
  <si>
    <t>Fecha</t>
  </si>
  <si>
    <t>Para la determinación del riesgo de los productos y de los establecimietos se escogíó la siguiente escala de riesgo</t>
  </si>
  <si>
    <t xml:space="preserve">Nivel de Riesgo </t>
  </si>
  <si>
    <t>RT</t>
  </si>
  <si>
    <t>=</t>
  </si>
  <si>
    <t>RE</t>
  </si>
  <si>
    <t>RP</t>
  </si>
  <si>
    <t>X</t>
  </si>
  <si>
    <t>Procesadora San Martín de Porres, SRL</t>
  </si>
  <si>
    <t>1.0 - 1.67</t>
  </si>
  <si>
    <t>&gt;1.67 - 2.34</t>
  </si>
  <si>
    <t>&gt;02.34</t>
  </si>
  <si>
    <t>1.0 - 1.67 puntos</t>
  </si>
  <si>
    <t>&gt; 02.34 puntos</t>
  </si>
  <si>
    <t>&gt; 1.67 - 2.34 puntos</t>
  </si>
  <si>
    <t>Goya Santo Domingo, S. A.</t>
  </si>
  <si>
    <t>&gt; 2.34 puntos</t>
  </si>
  <si>
    <t>PROFUVECA</t>
  </si>
  <si>
    <t>Nombre del establecimiento</t>
  </si>
  <si>
    <t>Nivel de Riesgo Alimento</t>
  </si>
  <si>
    <t>Riesgo Bajo</t>
  </si>
  <si>
    <t>Riesgo Medio</t>
  </si>
  <si>
    <t>Riesgo Alto</t>
  </si>
  <si>
    <t>Mayor nivel de riesgo categoría alimento que elabora</t>
  </si>
  <si>
    <t>Categorías alimento que elabora</t>
  </si>
  <si>
    <t>Para la determinación del riesgo de los productos y de los establecimietos se escogió la siguiente escala de riesgo</t>
  </si>
  <si>
    <t>Factor de Riesgo</t>
  </si>
  <si>
    <t>Categoría riesgo</t>
  </si>
  <si>
    <t>1.0 - 3.6 puntos</t>
  </si>
  <si>
    <t>&gt; 3.6 -6.3 puntos</t>
  </si>
  <si>
    <t>&gt; 6.3 puntos</t>
  </si>
  <si>
    <t>Tiene 1 rechazo en los últimos 5 años</t>
  </si>
  <si>
    <t>No tiene implementado el sistema HACCP</t>
  </si>
  <si>
    <t>Los productos que elaboran los sirven a nivel regional</t>
  </si>
  <si>
    <t>Micro (&lt;200.000 por mes)</t>
  </si>
  <si>
    <t>&gt;80%</t>
  </si>
  <si>
    <t>Plan de muestreo en materias primas</t>
  </si>
  <si>
    <t>Formulario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</si>
</sst>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b/>
      <sz val="14"/>
      <color rgb="FFFFFFFF"/>
      <name val="Arial"/>
      <family val="2"/>
    </font>
    <font>
      <b/>
      <sz val="14"/>
      <color theme="1"/>
      <name val="Arial"/>
      <family val="2"/>
    </font>
    <font>
      <b/>
      <sz val="14"/>
      <color rgb="FF000000"/>
      <name val="Times New Roman"/>
      <family val="1"/>
    </font>
    <font>
      <b/>
      <sz val="14"/>
      <color theme="0"/>
      <name val="Times New Roman"/>
      <family val="1"/>
    </font>
    <font>
      <b/>
      <sz val="16"/>
      <color theme="1"/>
      <name val="Times New Roman"/>
      <family val="1"/>
    </font>
    <font>
      <sz val="12"/>
      <color rgb="FF222222"/>
      <name val="Times New Roman"/>
      <family val="1"/>
    </font>
    <font>
      <b/>
      <sz val="12"/>
      <color rgb="FF222222"/>
      <name val="Times New Roman"/>
      <family val="1"/>
    </font>
    <font>
      <b/>
      <sz val="14"/>
      <color rgb="FFFF0000"/>
      <name val="Times New Roman"/>
      <family val="1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Times New Roman"/>
      <family val="1"/>
    </font>
    <font>
      <b/>
      <sz val="14"/>
      <color rgb="FFFFFFFF"/>
      <name val="Times New Roman"/>
      <family val="1"/>
    </font>
    <font>
      <b/>
      <sz val="16"/>
      <color theme="0"/>
      <name val="Times New Roman"/>
      <family val="1"/>
    </font>
    <font>
      <b/>
      <sz val="14"/>
      <color theme="1"/>
      <name val="Calibri"/>
      <family val="2"/>
      <scheme val="minor"/>
    </font>
    <font>
      <sz val="12"/>
      <color rgb="FFFF00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9" fontId="0" fillId="0" borderId="1" xfId="0" applyNumberFormat="1" applyBorder="1" applyAlignment="1">
      <alignment horizontal="center" vertical="center" wrapText="1"/>
    </xf>
    <xf numFmtId="0" fontId="4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6" fillId="0" borderId="0" xfId="0" applyFont="1"/>
    <xf numFmtId="164" fontId="0" fillId="0" borderId="0" xfId="0" applyNumberFormat="1"/>
    <xf numFmtId="164" fontId="1" fillId="0" borderId="0" xfId="0" applyNumberFormat="1" applyFont="1"/>
    <xf numFmtId="0" fontId="8" fillId="3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4" fontId="2" fillId="0" borderId="0" xfId="0" applyNumberFormat="1" applyFont="1"/>
    <xf numFmtId="0" fontId="4" fillId="9" borderId="1" xfId="0" applyFon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165" fontId="2" fillId="0" borderId="0" xfId="0" applyNumberFormat="1" applyFont="1"/>
    <xf numFmtId="0" fontId="7" fillId="0" borderId="0" xfId="0" applyFont="1"/>
    <xf numFmtId="164" fontId="7" fillId="0" borderId="0" xfId="0" applyNumberFormat="1" applyFont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8" fillId="0" borderId="0" xfId="0" applyFont="1" applyAlignment="1">
      <alignment vertical="center"/>
    </xf>
    <xf numFmtId="9" fontId="4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/>
    <xf numFmtId="0" fontId="16" fillId="0" borderId="0" xfId="0" applyFont="1"/>
    <xf numFmtId="0" fontId="5" fillId="0" borderId="0" xfId="0" applyFont="1"/>
    <xf numFmtId="0" fontId="3" fillId="0" borderId="0" xfId="0" applyFont="1" applyAlignment="1">
      <alignment vertical="center"/>
    </xf>
    <xf numFmtId="0" fontId="17" fillId="0" borderId="0" xfId="0" applyFont="1"/>
    <xf numFmtId="0" fontId="11" fillId="0" borderId="0" xfId="0" applyFont="1" applyAlignment="1">
      <alignment horizontal="left"/>
    </xf>
    <xf numFmtId="9" fontId="15" fillId="0" borderId="0" xfId="0" applyNumberFormat="1" applyFont="1" applyAlignment="1">
      <alignment vertical="top"/>
    </xf>
    <xf numFmtId="0" fontId="19" fillId="3" borderId="1" xfId="0" applyFont="1" applyFill="1" applyBorder="1" applyAlignment="1">
      <alignment vertical="center"/>
    </xf>
    <xf numFmtId="2" fontId="0" fillId="0" borderId="0" xfId="0" applyNumberFormat="1"/>
    <xf numFmtId="0" fontId="4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left"/>
      <protection locked="0"/>
    </xf>
    <xf numFmtId="0" fontId="8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2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17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3" fillId="0" borderId="0" xfId="0" applyFont="1" applyAlignment="1" applyProtection="1">
      <alignment vertical="center"/>
      <protection locked="0"/>
    </xf>
    <xf numFmtId="0" fontId="16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2" fillId="0" borderId="1" xfId="0" applyFont="1" applyBorder="1" applyAlignment="1" applyProtection="1">
      <alignment horizontal="center"/>
      <protection locked="0"/>
    </xf>
    <xf numFmtId="9" fontId="0" fillId="0" borderId="1" xfId="0" applyNumberFormat="1" applyBorder="1" applyAlignment="1" applyProtection="1">
      <alignment horizontal="center" vertical="center" wrapText="1"/>
      <protection locked="0"/>
    </xf>
    <xf numFmtId="9" fontId="15" fillId="0" borderId="0" xfId="0" applyNumberFormat="1" applyFont="1" applyAlignment="1" applyProtection="1">
      <alignment vertical="top"/>
      <protection locked="0"/>
    </xf>
    <xf numFmtId="9" fontId="4" fillId="0" borderId="1" xfId="0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164" fontId="2" fillId="0" borderId="0" xfId="0" applyNumberFormat="1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right"/>
      <protection locked="0"/>
    </xf>
    <xf numFmtId="0" fontId="4" fillId="0" borderId="0" xfId="0" applyFont="1" applyAlignment="1" applyProtection="1">
      <alignment horizontal="center"/>
      <protection locked="0"/>
    </xf>
    <xf numFmtId="9" fontId="0" fillId="0" borderId="0" xfId="0" applyNumberForma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10" fillId="5" borderId="1" xfId="0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 applyProtection="1">
      <alignment horizontal="center"/>
      <protection locked="0"/>
    </xf>
    <xf numFmtId="0" fontId="10" fillId="4" borderId="1" xfId="0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center"/>
      <protection locked="0"/>
    </xf>
    <xf numFmtId="2" fontId="12" fillId="12" borderId="11" xfId="0" applyNumberFormat="1" applyFont="1" applyFill="1" applyBorder="1" applyAlignment="1">
      <alignment horizontal="center"/>
    </xf>
    <xf numFmtId="2" fontId="12" fillId="12" borderId="3" xfId="0" applyNumberFormat="1" applyFont="1" applyFill="1" applyBorder="1" applyAlignment="1">
      <alignment horizontal="center"/>
    </xf>
    <xf numFmtId="2" fontId="12" fillId="12" borderId="12" xfId="0" applyNumberFormat="1" applyFont="1" applyFill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top" wrapText="1"/>
      <protection locked="0"/>
    </xf>
    <xf numFmtId="9" fontId="2" fillId="0" borderId="1" xfId="0" applyNumberFormat="1" applyFont="1" applyBorder="1" applyAlignment="1" applyProtection="1">
      <alignment horizontal="center" vertical="center" wrapText="1"/>
      <protection locked="0"/>
    </xf>
    <xf numFmtId="0" fontId="11" fillId="8" borderId="1" xfId="0" applyFont="1" applyFill="1" applyBorder="1" applyAlignment="1" applyProtection="1">
      <alignment horizontal="center"/>
      <protection locked="0"/>
    </xf>
    <xf numFmtId="0" fontId="19" fillId="3" borderId="1" xfId="0" applyFont="1" applyFill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 applyProtection="1">
      <alignment horizontal="center" vertical="center"/>
      <protection locked="0"/>
    </xf>
    <xf numFmtId="0" fontId="4" fillId="6" borderId="1" xfId="0" applyFont="1" applyFill="1" applyBorder="1" applyAlignment="1" applyProtection="1">
      <alignment horizontal="center"/>
      <protection locked="0"/>
    </xf>
    <xf numFmtId="0" fontId="11" fillId="11" borderId="10" xfId="0" applyFont="1" applyFill="1" applyBorder="1" applyAlignment="1" applyProtection="1">
      <alignment horizontal="center"/>
      <protection locked="0"/>
    </xf>
    <xf numFmtId="0" fontId="11" fillId="11" borderId="0" xfId="0" applyFont="1" applyFill="1" applyAlignment="1" applyProtection="1">
      <alignment horizontal="center"/>
      <protection locked="0"/>
    </xf>
    <xf numFmtId="164" fontId="4" fillId="10" borderId="1" xfId="0" applyNumberFormat="1" applyFont="1" applyFill="1" applyBorder="1" applyAlignment="1">
      <alignment horizontal="center"/>
    </xf>
    <xf numFmtId="0" fontId="12" fillId="2" borderId="0" xfId="0" applyFont="1" applyFill="1" applyAlignment="1" applyProtection="1">
      <alignment horizontal="center"/>
      <protection locked="0"/>
    </xf>
    <xf numFmtId="0" fontId="17" fillId="0" borderId="0" xfId="0" applyFont="1" applyAlignment="1" applyProtection="1">
      <alignment horizontal="center"/>
      <protection locked="0"/>
    </xf>
    <xf numFmtId="164" fontId="17" fillId="10" borderId="0" xfId="0" applyNumberFormat="1" applyFont="1" applyFill="1" applyAlignment="1">
      <alignment horizontal="center"/>
    </xf>
    <xf numFmtId="0" fontId="17" fillId="0" borderId="0" xfId="0" applyFont="1" applyAlignment="1" applyProtection="1">
      <alignment horizontal="center" vertical="center"/>
      <protection locked="0"/>
    </xf>
    <xf numFmtId="2" fontId="12" fillId="12" borderId="0" xfId="0" applyNumberFormat="1" applyFont="1" applyFill="1" applyAlignment="1">
      <alignment horizontal="center"/>
    </xf>
    <xf numFmtId="0" fontId="20" fillId="11" borderId="4" xfId="0" applyFont="1" applyFill="1" applyBorder="1" applyAlignment="1" applyProtection="1">
      <alignment horizontal="center"/>
      <protection locked="0"/>
    </xf>
    <xf numFmtId="0" fontId="20" fillId="11" borderId="5" xfId="0" applyFont="1" applyFill="1" applyBorder="1" applyAlignment="1" applyProtection="1">
      <alignment horizontal="center"/>
      <protection locked="0"/>
    </xf>
    <xf numFmtId="0" fontId="20" fillId="11" borderId="6" xfId="0" applyFont="1" applyFill="1" applyBorder="1" applyAlignment="1" applyProtection="1">
      <alignment horizontal="center"/>
      <protection locked="0"/>
    </xf>
    <xf numFmtId="0" fontId="20" fillId="11" borderId="1" xfId="0" applyFont="1" applyFill="1" applyBorder="1" applyAlignment="1" applyProtection="1">
      <alignment horizontal="left"/>
      <protection locked="0"/>
    </xf>
    <xf numFmtId="0" fontId="11" fillId="11" borderId="1" xfId="0" applyFont="1" applyFill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10" fillId="6" borderId="1" xfId="0" applyFont="1" applyFill="1" applyBorder="1" applyAlignment="1" applyProtection="1">
      <alignment horizontal="left" vertical="center"/>
      <protection locked="0"/>
    </xf>
    <xf numFmtId="0" fontId="4" fillId="7" borderId="1" xfId="0" applyFont="1" applyFill="1" applyBorder="1" applyAlignment="1" applyProtection="1">
      <alignment horizontal="center" vertical="center"/>
      <protection locked="0"/>
    </xf>
    <xf numFmtId="0" fontId="10" fillId="5" borderId="1" xfId="0" applyFont="1" applyFill="1" applyBorder="1" applyAlignment="1" applyProtection="1">
      <alignment horizontal="left" vertical="center"/>
      <protection locked="0"/>
    </xf>
    <xf numFmtId="0" fontId="4" fillId="4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0" xfId="0" applyFont="1" applyAlignment="1" applyProtection="1">
      <alignment horizontal="justify" wrapText="1"/>
      <protection locked="0"/>
    </xf>
    <xf numFmtId="0" fontId="11" fillId="11" borderId="13" xfId="0" applyFont="1" applyFill="1" applyBorder="1" applyAlignment="1" applyProtection="1">
      <alignment horizontal="center"/>
      <protection locked="0"/>
    </xf>
    <xf numFmtId="0" fontId="11" fillId="11" borderId="14" xfId="0" applyFont="1" applyFill="1" applyBorder="1" applyAlignment="1" applyProtection="1">
      <alignment horizontal="center"/>
      <protection locked="0"/>
    </xf>
    <xf numFmtId="0" fontId="11" fillId="11" borderId="15" xfId="0" applyFont="1" applyFill="1" applyBorder="1" applyAlignment="1" applyProtection="1">
      <alignment horizontal="center"/>
      <protection locked="0"/>
    </xf>
    <xf numFmtId="0" fontId="21" fillId="0" borderId="16" xfId="0" applyFont="1" applyBorder="1" applyAlignment="1" applyProtection="1">
      <alignment horizontal="center"/>
      <protection locked="0"/>
    </xf>
    <xf numFmtId="0" fontId="21" fillId="0" borderId="17" xfId="0" applyFont="1" applyBorder="1" applyAlignment="1" applyProtection="1">
      <alignment horizontal="center"/>
      <protection locked="0"/>
    </xf>
    <xf numFmtId="0" fontId="21" fillId="0" borderId="18" xfId="0" applyFont="1" applyBorder="1" applyAlignment="1" applyProtection="1">
      <alignment horizontal="center"/>
      <protection locked="0"/>
    </xf>
    <xf numFmtId="0" fontId="4" fillId="10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14" fontId="4" fillId="0" borderId="1" xfId="0" applyNumberFormat="1" applyFont="1" applyBorder="1" applyAlignment="1" applyProtection="1">
      <alignment horizontal="center"/>
      <protection locked="0"/>
    </xf>
    <xf numFmtId="164" fontId="21" fillId="10" borderId="13" xfId="0" applyNumberFormat="1" applyFont="1" applyFill="1" applyBorder="1" applyAlignment="1">
      <alignment horizontal="center"/>
    </xf>
    <xf numFmtId="164" fontId="21" fillId="10" borderId="14" xfId="0" applyNumberFormat="1" applyFont="1" applyFill="1" applyBorder="1" applyAlignment="1">
      <alignment horizontal="center"/>
    </xf>
    <xf numFmtId="164" fontId="21" fillId="10" borderId="15" xfId="0" applyNumberFormat="1" applyFont="1" applyFill="1" applyBorder="1" applyAlignment="1">
      <alignment horizont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4" fillId="0" borderId="6" xfId="0" applyFont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 vertical="top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wrapText="1"/>
      <protection locked="0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2" fontId="17" fillId="10" borderId="0" xfId="0" applyNumberFormat="1" applyFont="1" applyFill="1" applyAlignment="1">
      <alignment horizontal="center"/>
    </xf>
    <xf numFmtId="0" fontId="12" fillId="12" borderId="11" xfId="0" applyFont="1" applyFill="1" applyBorder="1" applyAlignment="1">
      <alignment horizontal="center"/>
    </xf>
    <xf numFmtId="0" fontId="12" fillId="12" borderId="3" xfId="0" applyFont="1" applyFill="1" applyBorder="1" applyAlignment="1">
      <alignment horizontal="center"/>
    </xf>
    <xf numFmtId="0" fontId="12" fillId="10" borderId="4" xfId="0" applyFont="1" applyFill="1" applyBorder="1" applyAlignment="1">
      <alignment horizontal="center"/>
    </xf>
    <xf numFmtId="0" fontId="12" fillId="10" borderId="5" xfId="0" applyFont="1" applyFill="1" applyBorder="1" applyAlignment="1">
      <alignment horizontal="center"/>
    </xf>
    <xf numFmtId="0" fontId="12" fillId="10" borderId="6" xfId="0" applyFont="1" applyFill="1" applyBorder="1" applyAlignment="1">
      <alignment horizontal="center"/>
    </xf>
    <xf numFmtId="9" fontId="0" fillId="0" borderId="0" xfId="0" applyNumberFormat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20" fillId="11" borderId="4" xfId="0" applyFont="1" applyFill="1" applyBorder="1" applyAlignment="1">
      <alignment horizontal="left"/>
    </xf>
    <xf numFmtId="0" fontId="20" fillId="11" borderId="5" xfId="0" applyFont="1" applyFill="1" applyBorder="1" applyAlignment="1">
      <alignment horizontal="left"/>
    </xf>
    <xf numFmtId="0" fontId="20" fillId="11" borderId="6" xfId="0" applyFont="1" applyFill="1" applyBorder="1" applyAlignment="1">
      <alignment horizontal="left"/>
    </xf>
    <xf numFmtId="0" fontId="20" fillId="11" borderId="1" xfId="0" applyFont="1" applyFill="1" applyBorder="1" applyAlignment="1">
      <alignment horizontal="left"/>
    </xf>
    <xf numFmtId="0" fontId="12" fillId="12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0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11" fillId="11" borderId="10" xfId="0" applyFont="1" applyFill="1" applyBorder="1" applyAlignment="1">
      <alignment horizontal="center"/>
    </xf>
    <xf numFmtId="0" fontId="11" fillId="11" borderId="0" xfId="0" applyFont="1" applyFill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17" fillId="10" borderId="0" xfId="0" applyFont="1" applyFill="1" applyAlignment="1">
      <alignment horizontal="center"/>
    </xf>
    <xf numFmtId="0" fontId="1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/>
    </xf>
    <xf numFmtId="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 wrapText="1"/>
    </xf>
    <xf numFmtId="0" fontId="11" fillId="11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0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justify" wrapText="1"/>
    </xf>
    <xf numFmtId="0" fontId="4" fillId="10" borderId="4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18" fillId="12" borderId="10" xfId="0" applyFont="1" applyFill="1" applyBorder="1" applyAlignment="1">
      <alignment horizontal="center"/>
    </xf>
    <xf numFmtId="0" fontId="18" fillId="12" borderId="0" xfId="0" applyFont="1" applyFill="1" applyAlignment="1">
      <alignment horizontal="center"/>
    </xf>
    <xf numFmtId="0" fontId="20" fillId="11" borderId="4" xfId="0" applyFont="1" applyFill="1" applyBorder="1" applyAlignment="1">
      <alignment horizontal="center"/>
    </xf>
    <xf numFmtId="0" fontId="20" fillId="11" borderId="5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2" fillId="12" borderId="0" xfId="0" applyFont="1" applyFill="1" applyAlignment="1">
      <alignment horizontal="center"/>
    </xf>
    <xf numFmtId="2" fontId="4" fillId="10" borderId="1" xfId="0" applyNumberFormat="1" applyFont="1" applyFill="1" applyBorder="1" applyAlignment="1">
      <alignment horizontal="center"/>
    </xf>
    <xf numFmtId="9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4" fillId="0" borderId="4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0" fillId="6" borderId="8" xfId="0" applyFont="1" applyFill="1" applyBorder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10" fillId="5" borderId="0" xfId="0" applyFont="1" applyFill="1" applyAlignment="1">
      <alignment horizontal="left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2" fontId="4" fillId="7" borderId="1" xfId="0" applyNumberFormat="1" applyFont="1" applyFill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4" fillId="10" borderId="0" xfId="0" applyFont="1" applyFill="1" applyAlignment="1">
      <alignment horizontal="left"/>
    </xf>
    <xf numFmtId="14" fontId="12" fillId="0" borderId="0" xfId="0" applyNumberFormat="1" applyFont="1" applyAlignment="1">
      <alignment horizontal="center" vertical="top"/>
    </xf>
    <xf numFmtId="0" fontId="2" fillId="13" borderId="4" xfId="0" applyFont="1" applyFill="1" applyBorder="1" applyAlignment="1" applyProtection="1">
      <alignment horizontal="center" vertical="center"/>
      <protection locked="0"/>
    </xf>
    <xf numFmtId="0" fontId="2" fillId="13" borderId="6" xfId="0" applyFont="1" applyFill="1" applyBorder="1" applyAlignment="1" applyProtection="1">
      <alignment horizontal="center" vertical="center"/>
      <protection locked="0"/>
    </xf>
    <xf numFmtId="0" fontId="2" fillId="13" borderId="1" xfId="0" applyFont="1" applyFill="1" applyBorder="1" applyAlignment="1" applyProtection="1">
      <alignment horizontal="center" vertical="top"/>
      <protection locked="0"/>
    </xf>
    <xf numFmtId="0" fontId="2" fillId="13" borderId="1" xfId="0" applyFont="1" applyFill="1" applyBorder="1" applyAlignment="1" applyProtection="1">
      <alignment horizontal="center" vertical="top" wrapText="1"/>
      <protection locked="0"/>
    </xf>
    <xf numFmtId="0" fontId="2" fillId="0" borderId="0" xfId="0" applyFont="1" applyBorder="1" applyAlignment="1" applyProtection="1">
      <alignment wrapText="1"/>
      <protection locked="0"/>
    </xf>
    <xf numFmtId="0" fontId="2" fillId="0" borderId="9" xfId="0" applyFont="1" applyBorder="1" applyAlignment="1" applyProtection="1">
      <alignment wrapText="1"/>
      <protection locked="0"/>
    </xf>
    <xf numFmtId="0" fontId="2" fillId="0" borderId="5" xfId="0" applyFont="1" applyBorder="1" applyAlignment="1" applyProtection="1">
      <alignment wrapText="1"/>
      <protection locked="0"/>
    </xf>
    <xf numFmtId="0" fontId="22" fillId="13" borderId="4" xfId="0" applyFont="1" applyFill="1" applyBorder="1" applyAlignment="1" applyProtection="1">
      <alignment horizontal="center" vertical="center"/>
      <protection locked="0"/>
    </xf>
    <xf numFmtId="0" fontId="22" fillId="13" borderId="6" xfId="0" applyFont="1" applyFill="1" applyBorder="1" applyAlignment="1" applyProtection="1">
      <alignment horizontal="center" vertical="center"/>
      <protection locked="0"/>
    </xf>
    <xf numFmtId="0" fontId="22" fillId="13" borderId="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9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CE4D6"/>
      <color rgb="FFFCD6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rnando Sampedro" id="{93B10162-31A0-4B39-9B8E-37E9C300232F}" userId="S::fersampa@fspconsult.onmicrosoft.com::717d1132-7317-4b9f-a0d0-b0bbb3f560cb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5" dT="2024-09-14T15:38:02.69" personId="{93B10162-31A0-4B39-9B8E-37E9C300232F}" id="{4DF6C707-E5F6-4A6F-A27D-999AA3D8E018}">
    <text>Agregar la lista de categorías de alimento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3E826-63CD-463F-BEA7-FDAFF59FF276}">
  <dimension ref="A1:BG117"/>
  <sheetViews>
    <sheetView showGridLines="0" tabSelected="1" topLeftCell="A12" workbookViewId="0">
      <selection activeCell="A40" sqref="A40:G40"/>
    </sheetView>
  </sheetViews>
  <sheetFormatPr baseColWidth="10" defaultColWidth="11.1015625" defaultRowHeight="14.4" x14ac:dyDescent="0.55000000000000004"/>
  <cols>
    <col min="1" max="7" width="2.68359375" style="48" customWidth="1"/>
    <col min="8" max="8" width="8.1015625" style="48" customWidth="1"/>
    <col min="9" max="11" width="2.68359375" style="48" customWidth="1"/>
    <col min="12" max="12" width="1.1015625" style="48" customWidth="1"/>
    <col min="13" max="13" width="1.89453125" style="48" hidden="1" customWidth="1"/>
    <col min="14" max="14" width="3.89453125" style="48" customWidth="1"/>
    <col min="15" max="16" width="2.68359375" style="48" customWidth="1"/>
    <col min="17" max="17" width="4.41796875" style="48" customWidth="1"/>
    <col min="18" max="18" width="2.68359375" style="48" hidden="1" customWidth="1"/>
    <col min="19" max="19" width="0.5234375" style="48" hidden="1" customWidth="1"/>
    <col min="20" max="29" width="2.68359375" style="48" customWidth="1"/>
    <col min="30" max="30" width="7.5234375" style="48" customWidth="1"/>
    <col min="31" max="31" width="2.68359375" style="48" customWidth="1"/>
    <col min="32" max="32" width="6.5234375" style="48" customWidth="1"/>
    <col min="33" max="39" width="2.68359375" style="48" customWidth="1"/>
    <col min="40" max="40" width="4.68359375" style="48" customWidth="1"/>
    <col min="41" max="57" width="0" style="48" hidden="1" customWidth="1"/>
    <col min="58" max="16384" width="11.1015625" style="48"/>
  </cols>
  <sheetData>
    <row r="1" spans="1:40" ht="17.399999999999999" x14ac:dyDescent="0.55000000000000004">
      <c r="A1" s="74" t="s">
        <v>133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</row>
    <row r="2" spans="1:40" ht="17.399999999999999" x14ac:dyDescent="0.55000000000000004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</row>
    <row r="3" spans="1:40" ht="28.95" customHeight="1" x14ac:dyDescent="0.55000000000000004">
      <c r="A3" s="122" t="s">
        <v>135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</row>
    <row r="4" spans="1:40" ht="27.6" customHeight="1" x14ac:dyDescent="0.55000000000000004">
      <c r="A4" s="122" t="s">
        <v>153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49"/>
    </row>
    <row r="5" spans="1:40" ht="17.399999999999999" x14ac:dyDescent="0.55000000000000004">
      <c r="A5" s="131" t="s">
        <v>159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49"/>
    </row>
    <row r="6" spans="1:40" ht="17.399999999999999" x14ac:dyDescent="0.55000000000000004">
      <c r="A6" s="131"/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49"/>
    </row>
    <row r="7" spans="1:40" ht="17.399999999999999" x14ac:dyDescent="0.55000000000000004">
      <c r="A7" s="131"/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  <c r="AM7" s="130"/>
      <c r="AN7" s="49"/>
    </row>
    <row r="8" spans="1:40" ht="17.399999999999999" x14ac:dyDescent="0.55000000000000004">
      <c r="A8" s="131"/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0"/>
      <c r="AM8" s="130"/>
      <c r="AN8" s="49"/>
    </row>
    <row r="9" spans="1:40" ht="17.399999999999999" x14ac:dyDescent="0.55000000000000004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49"/>
    </row>
    <row r="10" spans="1:40" ht="17.399999999999999" x14ac:dyDescent="0.55000000000000004">
      <c r="A10" s="123" t="s">
        <v>160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49"/>
    </row>
    <row r="11" spans="1:40" ht="17.399999999999999" x14ac:dyDescent="0.55000000000000004">
      <c r="A11" s="123"/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49"/>
    </row>
    <row r="12" spans="1:40" ht="17.399999999999999" x14ac:dyDescent="0.55000000000000004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49"/>
    </row>
    <row r="13" spans="1:40" ht="17.7" x14ac:dyDescent="0.55000000000000004">
      <c r="A13" s="101" t="s">
        <v>154</v>
      </c>
      <c r="B13" s="101"/>
      <c r="C13" s="101"/>
      <c r="D13" s="101"/>
      <c r="E13" s="101"/>
      <c r="F13" s="101"/>
      <c r="G13" s="101"/>
      <c r="H13" s="101"/>
      <c r="I13" s="101" t="s">
        <v>19</v>
      </c>
      <c r="J13" s="101"/>
      <c r="K13" s="101"/>
      <c r="L13" s="101"/>
      <c r="M13" s="10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C13" s="51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49"/>
    </row>
    <row r="14" spans="1:40" ht="17.7" x14ac:dyDescent="0.55000000000000004">
      <c r="A14" s="118" t="s">
        <v>155</v>
      </c>
      <c r="B14" s="118"/>
      <c r="C14" s="118"/>
      <c r="D14" s="118"/>
      <c r="E14" s="118"/>
      <c r="F14" s="118"/>
      <c r="G14" s="118"/>
      <c r="H14" s="118"/>
      <c r="I14" s="119">
        <v>1</v>
      </c>
      <c r="J14" s="119"/>
      <c r="K14" s="119"/>
      <c r="L14" s="119"/>
      <c r="M14" s="119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C14" s="53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49"/>
    </row>
    <row r="15" spans="1:40" ht="17.7" x14ac:dyDescent="0.55000000000000004">
      <c r="A15" s="120" t="s">
        <v>156</v>
      </c>
      <c r="B15" s="120"/>
      <c r="C15" s="120"/>
      <c r="D15" s="120"/>
      <c r="E15" s="120"/>
      <c r="F15" s="120"/>
      <c r="G15" s="120"/>
      <c r="H15" s="120"/>
      <c r="I15" s="119">
        <v>2</v>
      </c>
      <c r="J15" s="119"/>
      <c r="K15" s="119"/>
      <c r="L15" s="119"/>
      <c r="M15" s="119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C15" s="53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49"/>
    </row>
    <row r="16" spans="1:40" ht="17.7" x14ac:dyDescent="0.55000000000000004">
      <c r="A16" s="121" t="s">
        <v>157</v>
      </c>
      <c r="B16" s="121"/>
      <c r="C16" s="121"/>
      <c r="D16" s="121"/>
      <c r="E16" s="121"/>
      <c r="F16" s="121"/>
      <c r="G16" s="121"/>
      <c r="H16" s="121"/>
      <c r="I16" s="119">
        <v>3</v>
      </c>
      <c r="J16" s="119"/>
      <c r="K16" s="119"/>
      <c r="L16" s="119"/>
      <c r="M16" s="11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C16" s="53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49"/>
    </row>
    <row r="17" spans="1:49" ht="18" thickBot="1" x14ac:dyDescent="0.65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4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49"/>
    </row>
    <row r="18" spans="1:49" ht="18.600000000000001" thickBot="1" x14ac:dyDescent="0.75">
      <c r="A18" s="124" t="s">
        <v>158</v>
      </c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6"/>
      <c r="U18" s="127" t="s">
        <v>20</v>
      </c>
      <c r="V18" s="128"/>
      <c r="W18" s="129"/>
      <c r="X18" s="133" cm="1">
        <f t="array" ref="X18">_xlfn.IFS(U18="bajo",1,U18="medio",2,U18="alto",3)</f>
        <v>3</v>
      </c>
      <c r="Y18" s="134"/>
      <c r="Z18" s="135"/>
      <c r="AB18" s="55"/>
      <c r="AC18" s="55"/>
      <c r="AD18" s="55"/>
    </row>
    <row r="19" spans="1:49" ht="17.399999999999999" x14ac:dyDescent="0.55000000000000004">
      <c r="C19" s="49"/>
      <c r="D19" s="49"/>
      <c r="E19" s="49"/>
      <c r="F19" s="49"/>
      <c r="G19" s="49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O19" s="55" t="s">
        <v>106</v>
      </c>
    </row>
    <row r="20" spans="1:49" ht="17.399999999999999" x14ac:dyDescent="0.55000000000000004">
      <c r="A20" s="116" t="s">
        <v>1</v>
      </c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O20" s="55" t="s">
        <v>107</v>
      </c>
    </row>
    <row r="21" spans="1:49" ht="17.399999999999999" x14ac:dyDescent="0.55000000000000004">
      <c r="A21" s="138" t="s">
        <v>9</v>
      </c>
      <c r="B21" s="139"/>
      <c r="C21" s="117" t="s">
        <v>161</v>
      </c>
      <c r="D21" s="117"/>
      <c r="E21" s="117"/>
      <c r="F21" s="117"/>
      <c r="G21" s="117"/>
      <c r="H21" s="117"/>
      <c r="I21" s="117"/>
      <c r="J21" s="117"/>
      <c r="K21" s="117"/>
      <c r="L21" s="117" t="s">
        <v>162</v>
      </c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17" t="s">
        <v>10</v>
      </c>
      <c r="AF21" s="117"/>
      <c r="AG21" s="117" t="s">
        <v>11</v>
      </c>
      <c r="AH21" s="117"/>
      <c r="AI21" s="117"/>
      <c r="AJ21" s="117"/>
      <c r="AK21" s="138" t="s">
        <v>12</v>
      </c>
      <c r="AL21" s="140"/>
      <c r="AM21" s="139"/>
      <c r="AO21" s="55" t="s">
        <v>108</v>
      </c>
      <c r="AV21" s="48" t="s">
        <v>20</v>
      </c>
    </row>
    <row r="22" spans="1:49" ht="15.3" x14ac:dyDescent="0.55000000000000004">
      <c r="A22" s="136">
        <v>1</v>
      </c>
      <c r="B22" s="137"/>
      <c r="C22" s="141" t="s">
        <v>3</v>
      </c>
      <c r="D22" s="141"/>
      <c r="E22" s="141"/>
      <c r="F22" s="141"/>
      <c r="G22" s="141"/>
      <c r="H22" s="141"/>
      <c r="I22" s="141"/>
      <c r="J22" s="141"/>
      <c r="K22" s="141"/>
      <c r="L22" s="144" t="s">
        <v>169</v>
      </c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3">
        <f>IF(L22="Grande (&gt;2.000.000 por mes)", 3, IF(L22="Mediano (800.000 - 2.000.000 por mes)", 2.33, IF(L22="Pequeño (200.000 - 800.000 por mes)", 1.67, IF(L22="Micro (&lt;200.000 por mes)", 1, ""))))</f>
        <v>1</v>
      </c>
      <c r="AF22" s="143"/>
      <c r="AG22" s="99">
        <v>0.16</v>
      </c>
      <c r="AH22" s="99"/>
      <c r="AI22" s="99"/>
      <c r="AJ22" s="99"/>
      <c r="AK22" s="97">
        <f>AE22*AG22</f>
        <v>0.16</v>
      </c>
      <c r="AL22" s="97"/>
      <c r="AM22" s="97"/>
      <c r="AO22" s="55" t="s">
        <v>109</v>
      </c>
      <c r="AV22" s="48" t="s">
        <v>21</v>
      </c>
    </row>
    <row r="23" spans="1:49" ht="15.3" x14ac:dyDescent="0.55000000000000004">
      <c r="A23" s="136">
        <v>2</v>
      </c>
      <c r="B23" s="137"/>
      <c r="C23" s="142" t="s">
        <v>4</v>
      </c>
      <c r="D23" s="142"/>
      <c r="E23" s="142"/>
      <c r="F23" s="142"/>
      <c r="G23" s="142"/>
      <c r="H23" s="142"/>
      <c r="I23" s="142"/>
      <c r="J23" s="142"/>
      <c r="K23" s="142"/>
      <c r="L23" s="144" t="s">
        <v>167</v>
      </c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3">
        <f>IF(L23="No tiene implementado el sistema HACCP", 3,
IF(L23="Tiene implementado el HACCP en el 25% de las líneas de producción", 2.33,
IF(L23="Tiene implementado el HACCP en el 75% de las líneas de producción", 1.67,
IF(L23="Tiene implementado el HACCP en todas las líneas de producción", 1))))</f>
        <v>3</v>
      </c>
      <c r="AF23" s="143"/>
      <c r="AG23" s="99">
        <v>0.09</v>
      </c>
      <c r="AH23" s="99"/>
      <c r="AI23" s="99"/>
      <c r="AJ23" s="99"/>
      <c r="AK23" s="97">
        <f t="shared" ref="AK23:AK27" si="0">AE23*AG23</f>
        <v>0.27</v>
      </c>
      <c r="AL23" s="97"/>
      <c r="AM23" s="97"/>
      <c r="AO23" s="55" t="s">
        <v>110</v>
      </c>
      <c r="AV23" s="48" t="s">
        <v>16</v>
      </c>
    </row>
    <row r="24" spans="1:49" ht="15.3" x14ac:dyDescent="0.55000000000000004">
      <c r="A24" s="136">
        <v>3</v>
      </c>
      <c r="B24" s="137"/>
      <c r="C24" s="98" t="s">
        <v>5</v>
      </c>
      <c r="D24" s="98"/>
      <c r="E24" s="98"/>
      <c r="F24" s="98"/>
      <c r="G24" s="98"/>
      <c r="H24" s="98"/>
      <c r="I24" s="98"/>
      <c r="J24" s="98"/>
      <c r="K24" s="98"/>
      <c r="L24" s="144" t="s">
        <v>170</v>
      </c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3">
        <f>IF(L24="≤ 60%", 3, IF(L24="&gt;60%-70%", 2.33, IF(L24="&gt;70%-80%", 1.67, IF(L24="&gt;80%", 1))))</f>
        <v>1</v>
      </c>
      <c r="AF24" s="143"/>
      <c r="AG24" s="99">
        <v>0.56000000000000005</v>
      </c>
      <c r="AH24" s="99"/>
      <c r="AI24" s="99"/>
      <c r="AJ24" s="99"/>
      <c r="AK24" s="97">
        <f t="shared" si="0"/>
        <v>0.56000000000000005</v>
      </c>
      <c r="AL24" s="97"/>
      <c r="AM24" s="97"/>
      <c r="AO24" s="55" t="s">
        <v>111</v>
      </c>
    </row>
    <row r="25" spans="1:49" ht="15.3" x14ac:dyDescent="0.55000000000000004">
      <c r="A25" s="136">
        <v>4</v>
      </c>
      <c r="B25" s="137"/>
      <c r="C25" s="141" t="s">
        <v>6</v>
      </c>
      <c r="D25" s="141"/>
      <c r="E25" s="141"/>
      <c r="F25" s="141"/>
      <c r="G25" s="141"/>
      <c r="H25" s="141"/>
      <c r="I25" s="141"/>
      <c r="J25" s="141"/>
      <c r="K25" s="141"/>
      <c r="L25" s="144" t="s">
        <v>168</v>
      </c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3">
        <f>IF(L25="Los productos que elaboran los sirven a nivel nacional",3,IF(L25="Los productos que elaboran los sirven a nivel regional",2.33,IF(L25="Los productos que elaboran los sirven a nivel local",1.67,IF(L25="No es suplidor del INABIE",1))))</f>
        <v>2.33</v>
      </c>
      <c r="AF25" s="143"/>
      <c r="AG25" s="99">
        <v>0.05</v>
      </c>
      <c r="AH25" s="99"/>
      <c r="AI25" s="99"/>
      <c r="AJ25" s="99"/>
      <c r="AK25" s="97">
        <f t="shared" si="0"/>
        <v>0.11650000000000001</v>
      </c>
      <c r="AL25" s="97"/>
      <c r="AM25" s="97"/>
      <c r="AO25" s="55" t="s">
        <v>112</v>
      </c>
      <c r="AU25" s="48">
        <v>1</v>
      </c>
      <c r="AV25" s="48">
        <v>1</v>
      </c>
      <c r="AW25" s="48">
        <v>2</v>
      </c>
    </row>
    <row r="26" spans="1:49" ht="15.3" x14ac:dyDescent="0.55000000000000004">
      <c r="A26" s="136">
        <v>5</v>
      </c>
      <c r="B26" s="137"/>
      <c r="C26" s="98" t="s">
        <v>7</v>
      </c>
      <c r="D26" s="98"/>
      <c r="E26" s="98"/>
      <c r="F26" s="98"/>
      <c r="G26" s="98"/>
      <c r="H26" s="98"/>
      <c r="I26" s="98"/>
      <c r="J26" s="98"/>
      <c r="K26" s="98"/>
      <c r="L26" s="144" t="s">
        <v>166</v>
      </c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  <c r="AE26" s="143">
        <f>IF(L26="Tiene más de 2 rechazos en los últimos 5 años", 3, IF(L26="Tiene 2 rechazos en los últimos 5 años", 2.33, IF(L26="Tiene 1 rechazo en los últimos 5 años", 1.67, IF(L26="No tiene ningún rechazo en los últimos 5 años", 1))))</f>
        <v>1.67</v>
      </c>
      <c r="AF26" s="143"/>
      <c r="AG26" s="99">
        <v>0.06</v>
      </c>
      <c r="AH26" s="99"/>
      <c r="AI26" s="99"/>
      <c r="AJ26" s="99"/>
      <c r="AK26" s="97">
        <f t="shared" si="0"/>
        <v>0.1002</v>
      </c>
      <c r="AL26" s="97"/>
      <c r="AM26" s="97"/>
      <c r="AO26" s="55" t="s">
        <v>113</v>
      </c>
      <c r="AU26" s="48">
        <v>1.67</v>
      </c>
      <c r="AV26" s="48">
        <v>2</v>
      </c>
      <c r="AW26" s="48">
        <v>4</v>
      </c>
    </row>
    <row r="27" spans="1:49" ht="15.3" x14ac:dyDescent="0.55000000000000004">
      <c r="A27" s="136">
        <v>6</v>
      </c>
      <c r="B27" s="137"/>
      <c r="C27" s="98" t="s">
        <v>58</v>
      </c>
      <c r="D27" s="98"/>
      <c r="E27" s="98"/>
      <c r="F27" s="98"/>
      <c r="G27" s="98"/>
      <c r="H27" s="98"/>
      <c r="I27" s="98"/>
      <c r="J27" s="98"/>
      <c r="K27" s="98"/>
      <c r="L27" s="144" t="s">
        <v>171</v>
      </c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3" t="b">
        <f>IF(L27="No cuenta con plan de muestreo microbiológico", 3, IF(L27="Tiene plan de muestreo microbiológico solo para las materias primas", 2.33, IF(L27="Tiene un plan de muestreo microbiológico solo para las áreas de proceso y productos terminados", 1.67, IF(L27="Tiene un plan de muestreo microbiológico para las materias primas, las áreas de proceso y productos terminados", 1))))</f>
        <v>0</v>
      </c>
      <c r="AF27" s="143"/>
      <c r="AG27" s="99">
        <v>0.08</v>
      </c>
      <c r="AH27" s="99"/>
      <c r="AI27" s="99"/>
      <c r="AJ27" s="99"/>
      <c r="AK27" s="97">
        <f t="shared" si="0"/>
        <v>0</v>
      </c>
      <c r="AL27" s="97"/>
      <c r="AM27" s="97"/>
      <c r="AO27" s="55" t="s">
        <v>114</v>
      </c>
      <c r="AU27" s="48">
        <v>2.33</v>
      </c>
      <c r="AV27" s="48">
        <v>3</v>
      </c>
      <c r="AW27" s="48">
        <v>6</v>
      </c>
    </row>
    <row r="28" spans="1:49" ht="17.399999999999999" x14ac:dyDescent="0.55000000000000004">
      <c r="A28" s="104" t="s">
        <v>15</v>
      </c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6">
        <f>SUM(AK22:AK27)</f>
        <v>1.2067000000000001</v>
      </c>
      <c r="AL28" s="106"/>
      <c r="AM28" s="106"/>
      <c r="AO28" s="55" t="s">
        <v>115</v>
      </c>
      <c r="AU28" s="56">
        <v>3</v>
      </c>
    </row>
    <row r="29" spans="1:49" ht="15.3" x14ac:dyDescent="0.55000000000000004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B29" s="55"/>
      <c r="AC29" s="55"/>
      <c r="AD29" s="55"/>
      <c r="AO29" s="55" t="s">
        <v>116</v>
      </c>
    </row>
    <row r="30" spans="1:49" ht="19.8" x14ac:dyDescent="0.65">
      <c r="A30" s="107" t="s">
        <v>14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O30" s="55" t="s">
        <v>118</v>
      </c>
    </row>
    <row r="31" spans="1:49" ht="17.7" x14ac:dyDescent="0.55000000000000004">
      <c r="AE31" s="51"/>
      <c r="AO31" s="55" t="s">
        <v>119</v>
      </c>
    </row>
    <row r="32" spans="1:49" ht="20.85" customHeight="1" x14ac:dyDescent="0.75">
      <c r="A32" s="57" t="s">
        <v>138</v>
      </c>
      <c r="B32" s="57"/>
      <c r="C32" s="57" t="s">
        <v>139</v>
      </c>
      <c r="D32" s="108" t="s">
        <v>141</v>
      </c>
      <c r="E32" s="108"/>
      <c r="F32" s="109">
        <f>X18</f>
        <v>3</v>
      </c>
      <c r="G32" s="109"/>
      <c r="H32" s="110" t="s">
        <v>142</v>
      </c>
      <c r="I32" s="110"/>
      <c r="J32" s="108" t="s">
        <v>140</v>
      </c>
      <c r="K32" s="108"/>
      <c r="L32" s="109">
        <f>AK28</f>
        <v>1.2067000000000001</v>
      </c>
      <c r="M32" s="109"/>
      <c r="N32" s="109"/>
      <c r="O32" s="57" t="s">
        <v>139</v>
      </c>
      <c r="P32" s="111">
        <f>F32*L32</f>
        <v>3.6201000000000003</v>
      </c>
      <c r="Q32" s="111"/>
      <c r="R32" s="111"/>
      <c r="AE32" s="53"/>
      <c r="AO32" s="55" t="s">
        <v>120</v>
      </c>
    </row>
    <row r="33" spans="1:59" ht="15.75" customHeight="1" x14ac:dyDescent="0.55000000000000004">
      <c r="A33" s="49"/>
      <c r="B33" s="49"/>
      <c r="C33" s="49"/>
      <c r="D33" s="49"/>
      <c r="E33" s="49"/>
      <c r="F33" s="49"/>
      <c r="G33" s="49"/>
      <c r="H33" s="58"/>
      <c r="I33" s="58"/>
      <c r="J33" s="59"/>
      <c r="AE33" s="53"/>
      <c r="AO33" s="55" t="s">
        <v>121</v>
      </c>
    </row>
    <row r="34" spans="1:59" ht="17.7" x14ac:dyDescent="0.55000000000000004">
      <c r="AE34" s="53"/>
      <c r="AO34" s="55" t="s">
        <v>122</v>
      </c>
    </row>
    <row r="35" spans="1:59" ht="20.399999999999999" x14ac:dyDescent="0.75">
      <c r="A35" s="49" t="s">
        <v>13</v>
      </c>
      <c r="B35" s="49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O35" s="55" t="s">
        <v>123</v>
      </c>
    </row>
    <row r="36" spans="1:59" ht="15.3" x14ac:dyDescent="0.55000000000000004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AO36" s="55" t="s">
        <v>124</v>
      </c>
    </row>
    <row r="37" spans="1:59" ht="17.399999999999999" x14ac:dyDescent="0.55000000000000004">
      <c r="A37" s="100" t="s">
        <v>23</v>
      </c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47"/>
      <c r="AC37" s="47"/>
      <c r="AO37" s="55" t="s">
        <v>125</v>
      </c>
    </row>
    <row r="38" spans="1:59" ht="17.399999999999999" x14ac:dyDescent="0.55000000000000004">
      <c r="A38" s="100" t="s">
        <v>22</v>
      </c>
      <c r="B38" s="100"/>
      <c r="C38" s="100"/>
      <c r="D38" s="100"/>
      <c r="E38" s="100"/>
      <c r="F38" s="100"/>
      <c r="G38" s="100"/>
      <c r="H38" s="101" t="s">
        <v>18</v>
      </c>
      <c r="I38" s="101"/>
      <c r="J38" s="101"/>
      <c r="K38" s="101"/>
      <c r="L38" s="101"/>
      <c r="M38" s="101"/>
      <c r="N38" s="101"/>
      <c r="O38" s="101"/>
      <c r="P38" s="100" t="s">
        <v>24</v>
      </c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61"/>
      <c r="AC38" s="61"/>
      <c r="AO38" s="55" t="s">
        <v>126</v>
      </c>
    </row>
    <row r="39" spans="1:59" ht="17.399999999999999" x14ac:dyDescent="0.55000000000000004">
      <c r="A39" s="87" t="s">
        <v>163</v>
      </c>
      <c r="B39" s="87"/>
      <c r="C39" s="87"/>
      <c r="D39" s="87"/>
      <c r="E39" s="87"/>
      <c r="F39" s="87"/>
      <c r="G39" s="87"/>
      <c r="H39" s="102" t="s">
        <v>61</v>
      </c>
      <c r="I39" s="102"/>
      <c r="J39" s="102"/>
      <c r="K39" s="102"/>
      <c r="L39" s="102"/>
      <c r="M39" s="102"/>
      <c r="N39" s="102"/>
      <c r="O39" s="102"/>
      <c r="P39" s="103" t="s">
        <v>26</v>
      </c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49"/>
      <c r="AC39" s="49"/>
      <c r="AO39" s="55" t="s">
        <v>127</v>
      </c>
    </row>
    <row r="40" spans="1:59" ht="17.399999999999999" x14ac:dyDescent="0.55000000000000004">
      <c r="A40" s="87" t="s">
        <v>164</v>
      </c>
      <c r="B40" s="87"/>
      <c r="C40" s="87"/>
      <c r="D40" s="87"/>
      <c r="E40" s="87"/>
      <c r="F40" s="87"/>
      <c r="G40" s="87"/>
      <c r="H40" s="88" t="s">
        <v>60</v>
      </c>
      <c r="I40" s="88"/>
      <c r="J40" s="88"/>
      <c r="K40" s="88"/>
      <c r="L40" s="88"/>
      <c r="M40" s="88"/>
      <c r="N40" s="88"/>
      <c r="O40" s="88"/>
      <c r="P40" s="89" t="s">
        <v>28</v>
      </c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49"/>
      <c r="AC40" s="49"/>
      <c r="AD40" s="55"/>
      <c r="AO40" s="55" t="s">
        <v>128</v>
      </c>
    </row>
    <row r="41" spans="1:59" ht="17.399999999999999" x14ac:dyDescent="0.55000000000000004">
      <c r="A41" s="87" t="s">
        <v>165</v>
      </c>
      <c r="B41" s="87"/>
      <c r="C41" s="87"/>
      <c r="D41" s="87"/>
      <c r="E41" s="87"/>
      <c r="F41" s="87"/>
      <c r="G41" s="87"/>
      <c r="H41" s="90" t="s">
        <v>59</v>
      </c>
      <c r="I41" s="90"/>
      <c r="J41" s="90"/>
      <c r="K41" s="90"/>
      <c r="L41" s="90"/>
      <c r="M41" s="90"/>
      <c r="N41" s="90"/>
      <c r="O41" s="90"/>
      <c r="P41" s="91" t="s">
        <v>29</v>
      </c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49"/>
      <c r="AC41" s="49"/>
      <c r="AD41" s="49"/>
      <c r="AE41" s="49"/>
      <c r="AO41" s="55" t="s">
        <v>129</v>
      </c>
    </row>
    <row r="42" spans="1:59" ht="17.399999999999999" x14ac:dyDescent="0.55000000000000004">
      <c r="AD42" s="61"/>
      <c r="AE42" s="61"/>
      <c r="AF42" s="61"/>
    </row>
    <row r="43" spans="1:59" ht="19.8" x14ac:dyDescent="0.65">
      <c r="A43" s="112" t="s">
        <v>22</v>
      </c>
      <c r="B43" s="113"/>
      <c r="C43" s="113"/>
      <c r="D43" s="113"/>
      <c r="E43" s="113"/>
      <c r="F43" s="113"/>
      <c r="G43" s="114"/>
      <c r="H43" s="92">
        <f>P32</f>
        <v>3.6201000000000003</v>
      </c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4"/>
      <c r="AD43" s="49"/>
      <c r="AE43" s="49"/>
      <c r="AF43" s="49"/>
    </row>
    <row r="44" spans="1:59" ht="20.399999999999999" x14ac:dyDescent="0.75">
      <c r="A44" s="115" t="s">
        <v>70</v>
      </c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95" t="str">
        <f>IF(H43&gt;6.3, "Trimestral", IF(AND(H43&gt;3.6, H43&lt;=6.3), "Semestral", IF(AND(H43&gt;=1, H43&lt;=3.6), "Anual", "")))</f>
        <v>Semestral</v>
      </c>
      <c r="O44" s="96"/>
      <c r="P44" s="96"/>
      <c r="Q44" s="96"/>
      <c r="AD44" s="49"/>
      <c r="AE44" s="49"/>
      <c r="AF44" s="49"/>
    </row>
    <row r="45" spans="1:59" ht="17.7" x14ac:dyDescent="0.6">
      <c r="AD45" s="49"/>
      <c r="AE45" s="49"/>
      <c r="AF45" s="49"/>
      <c r="AO45" s="62" t="s">
        <v>62</v>
      </c>
      <c r="AP45" s="62"/>
      <c r="AQ45" s="62"/>
      <c r="AT45" s="62" t="s">
        <v>62</v>
      </c>
      <c r="AU45" s="62"/>
      <c r="AV45" s="62"/>
    </row>
    <row r="46" spans="1:59" ht="15.3" x14ac:dyDescent="0.55000000000000004"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B46" s="55"/>
      <c r="AC46" s="55"/>
      <c r="AD46" s="55"/>
      <c r="AM46" s="55"/>
      <c r="AO46" s="86" t="s">
        <v>73</v>
      </c>
      <c r="AP46" s="86"/>
      <c r="AQ46" s="86"/>
      <c r="AR46" s="55"/>
      <c r="AS46" s="55"/>
      <c r="AT46" s="86" t="s">
        <v>74</v>
      </c>
      <c r="AU46" s="86"/>
      <c r="AV46" s="86"/>
      <c r="AW46" s="55"/>
      <c r="AX46" s="55"/>
      <c r="AY46" s="55"/>
      <c r="AZ46" s="55"/>
      <c r="BA46" s="55"/>
      <c r="BB46" s="55"/>
      <c r="BC46" s="55"/>
      <c r="BD46" s="55"/>
      <c r="BE46" s="55"/>
      <c r="BF46" s="55"/>
      <c r="BG46" s="55"/>
    </row>
    <row r="47" spans="1:59" ht="15.3" x14ac:dyDescent="0.55000000000000004"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B47" s="55"/>
      <c r="AC47" s="55"/>
      <c r="AD47" s="55"/>
      <c r="AM47" s="55"/>
      <c r="AO47" s="78" t="s">
        <v>63</v>
      </c>
      <c r="AP47" s="80" t="s">
        <v>64</v>
      </c>
      <c r="AQ47" s="80"/>
      <c r="AR47" s="55"/>
      <c r="AS47" s="55"/>
      <c r="AT47" s="78" t="s">
        <v>63</v>
      </c>
      <c r="AU47" s="80" t="s">
        <v>64</v>
      </c>
      <c r="AV47" s="80"/>
      <c r="AW47" s="55"/>
      <c r="AX47" s="55" t="s">
        <v>26</v>
      </c>
      <c r="AY47" s="55">
        <v>1</v>
      </c>
      <c r="AZ47" s="55"/>
      <c r="BA47" s="55"/>
      <c r="BB47" s="55"/>
      <c r="BC47" s="55"/>
      <c r="BD47" s="55"/>
      <c r="BE47" s="55"/>
      <c r="BF47" s="55"/>
      <c r="BG47" s="55"/>
    </row>
    <row r="48" spans="1:59" ht="17.7" x14ac:dyDescent="0.55000000000000004"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C48" s="59"/>
      <c r="AD48" s="55"/>
      <c r="AM48" s="55"/>
      <c r="AO48" s="79"/>
      <c r="AP48" s="63" t="s">
        <v>65</v>
      </c>
      <c r="AQ48" s="63" t="s">
        <v>66</v>
      </c>
      <c r="AR48" s="55"/>
      <c r="AS48" s="55"/>
      <c r="AT48" s="79"/>
      <c r="AU48" s="63" t="s">
        <v>65</v>
      </c>
      <c r="AV48" s="63" t="s">
        <v>66</v>
      </c>
      <c r="AW48" s="55"/>
      <c r="AX48" s="48" t="s">
        <v>28</v>
      </c>
      <c r="AY48" s="55">
        <v>2</v>
      </c>
      <c r="AZ48" s="55"/>
      <c r="BA48" s="55"/>
      <c r="BB48" s="55"/>
      <c r="BC48" s="55"/>
      <c r="BD48" s="55"/>
      <c r="BE48" s="55"/>
      <c r="BF48" s="55"/>
      <c r="BG48" s="55"/>
    </row>
    <row r="49" spans="1:59" ht="17.399999999999999" x14ac:dyDescent="0.55000000000000004">
      <c r="A49" s="81"/>
      <c r="B49" s="81"/>
      <c r="C49" s="81"/>
      <c r="D49" s="81"/>
      <c r="E49" s="81"/>
      <c r="F49" s="81"/>
      <c r="G49" s="81"/>
      <c r="H49" s="49"/>
      <c r="I49" s="49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B49" s="55"/>
      <c r="AC49" s="55"/>
      <c r="AD49" s="55"/>
      <c r="AM49" s="55"/>
      <c r="AO49" s="64">
        <v>0.16</v>
      </c>
      <c r="AP49" s="18">
        <f>AO49*1</f>
        <v>0.16</v>
      </c>
      <c r="AQ49" s="5">
        <f>AO49*3</f>
        <v>0.48</v>
      </c>
      <c r="AR49" s="55"/>
      <c r="AS49" s="55"/>
      <c r="AT49" s="64">
        <v>0.16</v>
      </c>
      <c r="AU49" s="18">
        <f>AT49*2</f>
        <v>0.32</v>
      </c>
      <c r="AV49" s="5">
        <f>AT49*6</f>
        <v>0.96</v>
      </c>
      <c r="AW49" s="55"/>
      <c r="AX49" s="55" t="s">
        <v>29</v>
      </c>
      <c r="AY49" s="55">
        <v>3</v>
      </c>
      <c r="AZ49" s="55"/>
      <c r="BA49" s="55"/>
      <c r="BB49" s="55"/>
      <c r="BC49" s="55"/>
      <c r="BD49" s="55"/>
      <c r="BE49" s="55"/>
      <c r="BF49" s="55"/>
      <c r="BG49" s="55"/>
    </row>
    <row r="50" spans="1:59" ht="17.399999999999999" x14ac:dyDescent="0.55000000000000004">
      <c r="A50" s="74"/>
      <c r="B50" s="74"/>
      <c r="C50" s="74"/>
      <c r="D50" s="74"/>
      <c r="E50" s="74"/>
      <c r="F50" s="74"/>
      <c r="G50" s="74"/>
      <c r="H50" s="47"/>
      <c r="I50" s="49"/>
      <c r="J50" s="47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B50" s="55"/>
      <c r="AC50" s="55"/>
      <c r="AD50" s="55"/>
      <c r="AM50" s="55"/>
      <c r="AO50" s="64">
        <v>0.09</v>
      </c>
      <c r="AP50" s="18">
        <f t="shared" ref="AP50:AP54" si="1">AO50*1</f>
        <v>0.09</v>
      </c>
      <c r="AQ50" s="5">
        <f t="shared" ref="AQ50:AQ54" si="2">AO50*3</f>
        <v>0.27</v>
      </c>
      <c r="AR50" s="55"/>
      <c r="AS50" s="55"/>
      <c r="AT50" s="64">
        <v>0.09</v>
      </c>
      <c r="AU50" s="18">
        <f t="shared" ref="AU50:AU54" si="3">AT50*2</f>
        <v>0.18</v>
      </c>
      <c r="AV50" s="5">
        <f t="shared" ref="AV50:AV54" si="4">AT50*6</f>
        <v>0.54</v>
      </c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</row>
    <row r="51" spans="1:59" ht="17.399999999999999" x14ac:dyDescent="0.55000000000000004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55"/>
      <c r="AB51" s="55"/>
      <c r="AC51" s="55"/>
      <c r="AD51" s="55"/>
      <c r="AM51" s="55"/>
      <c r="AO51" s="64">
        <v>0.56000000000000005</v>
      </c>
      <c r="AP51" s="18">
        <f t="shared" si="1"/>
        <v>0.56000000000000005</v>
      </c>
      <c r="AQ51" s="5">
        <f t="shared" si="2"/>
        <v>1.6800000000000002</v>
      </c>
      <c r="AR51" s="55"/>
      <c r="AS51" s="55"/>
      <c r="AT51" s="64">
        <v>0.56000000000000005</v>
      </c>
      <c r="AU51" s="18">
        <f t="shared" si="3"/>
        <v>1.1200000000000001</v>
      </c>
      <c r="AV51" s="5">
        <f t="shared" si="4"/>
        <v>3.3600000000000003</v>
      </c>
      <c r="AW51" s="55"/>
      <c r="AX51" s="55"/>
      <c r="AY51" s="55"/>
      <c r="AZ51" s="55"/>
      <c r="BA51" s="55"/>
      <c r="BB51" s="55"/>
      <c r="BC51" s="55"/>
      <c r="BD51" s="55"/>
      <c r="BE51" s="55"/>
      <c r="BF51" s="55"/>
      <c r="BG51" s="55"/>
    </row>
    <row r="52" spans="1:59" ht="15.3" x14ac:dyDescent="0.55000000000000004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M52" s="55"/>
      <c r="AO52" s="64">
        <v>0.05</v>
      </c>
      <c r="AP52" s="18">
        <f t="shared" si="1"/>
        <v>0.05</v>
      </c>
      <c r="AQ52" s="5">
        <f t="shared" si="2"/>
        <v>0.15000000000000002</v>
      </c>
      <c r="AR52" s="55"/>
      <c r="AS52" s="55"/>
      <c r="AT52" s="64">
        <v>0.05</v>
      </c>
      <c r="AU52" s="18">
        <f t="shared" si="3"/>
        <v>0.1</v>
      </c>
      <c r="AV52" s="5">
        <f t="shared" si="4"/>
        <v>0.30000000000000004</v>
      </c>
      <c r="AW52" s="55"/>
      <c r="AX52" s="55"/>
      <c r="AY52" s="55"/>
      <c r="AZ52" s="55"/>
      <c r="BA52" s="55"/>
      <c r="BB52" s="55"/>
      <c r="BC52" s="55"/>
      <c r="BD52" s="55"/>
      <c r="BE52" s="55"/>
      <c r="BF52" s="55"/>
      <c r="BG52" s="55"/>
    </row>
    <row r="53" spans="1:59" ht="17.7" x14ac:dyDescent="0.55000000000000004">
      <c r="AF53" s="51"/>
      <c r="AM53" s="55"/>
      <c r="AO53" s="64">
        <v>0.06</v>
      </c>
      <c r="AP53" s="18">
        <f t="shared" si="1"/>
        <v>0.06</v>
      </c>
      <c r="AQ53" s="5">
        <f t="shared" si="2"/>
        <v>0.18</v>
      </c>
      <c r="AR53" s="55"/>
      <c r="AS53" s="55"/>
      <c r="AT53" s="64">
        <v>0.06</v>
      </c>
      <c r="AU53" s="18">
        <f t="shared" si="3"/>
        <v>0.12</v>
      </c>
      <c r="AV53" s="5">
        <f t="shared" si="4"/>
        <v>0.36</v>
      </c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</row>
    <row r="54" spans="1:59" ht="17.399999999999999" x14ac:dyDescent="0.55000000000000004"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55"/>
      <c r="AO54" s="64">
        <v>0.08</v>
      </c>
      <c r="AP54" s="18">
        <f t="shared" si="1"/>
        <v>0.08</v>
      </c>
      <c r="AQ54" s="5">
        <f t="shared" si="2"/>
        <v>0.24</v>
      </c>
      <c r="AR54" s="55"/>
      <c r="AS54" s="55"/>
      <c r="AT54" s="64">
        <v>0.08</v>
      </c>
      <c r="AU54" s="18">
        <f t="shared" si="3"/>
        <v>0.16</v>
      </c>
      <c r="AV54" s="5">
        <f t="shared" si="4"/>
        <v>0.48</v>
      </c>
      <c r="AW54" s="55"/>
      <c r="AX54" s="55"/>
      <c r="AY54" s="55"/>
      <c r="AZ54" s="55"/>
      <c r="BA54" s="55"/>
      <c r="BB54" s="55"/>
      <c r="BC54" s="55"/>
      <c r="BD54" s="55"/>
      <c r="BE54" s="55"/>
      <c r="BF54" s="55"/>
      <c r="BG54" s="55"/>
    </row>
    <row r="55" spans="1:59" ht="17.7" x14ac:dyDescent="0.6">
      <c r="AF55" s="52"/>
      <c r="AM55" s="55"/>
      <c r="AO55" s="66">
        <v>1</v>
      </c>
      <c r="AP55" s="30">
        <f>SUM(AP49:AP54)</f>
        <v>1.0000000000000002</v>
      </c>
      <c r="AQ55" s="30">
        <f>SUM(AQ49:AQ54)</f>
        <v>3</v>
      </c>
      <c r="AR55" s="55"/>
      <c r="AS55" s="55"/>
      <c r="AT55" s="67" t="s">
        <v>55</v>
      </c>
      <c r="AU55" s="5">
        <f>SUM(AU49:AU54)</f>
        <v>2.0000000000000004</v>
      </c>
      <c r="AV55" s="5">
        <f>SUM(AV49:AV54)</f>
        <v>6</v>
      </c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</row>
    <row r="56" spans="1:59" ht="17.399999999999999" x14ac:dyDescent="0.55000000000000004">
      <c r="AF56" s="52"/>
      <c r="AM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5"/>
    </row>
    <row r="57" spans="1:59" ht="15.3" x14ac:dyDescent="0.55000000000000004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75"/>
      <c r="AC57" s="75"/>
      <c r="AD57" s="55"/>
      <c r="AM57" s="55"/>
      <c r="AO57" s="55" t="s">
        <v>55</v>
      </c>
      <c r="AP57" s="68">
        <v>1</v>
      </c>
      <c r="AQ57" s="68">
        <v>9</v>
      </c>
      <c r="AR57" s="55"/>
      <c r="AS57" s="55"/>
      <c r="AT57" s="55" t="s">
        <v>67</v>
      </c>
      <c r="AU57" s="1">
        <f>AV55-AU55</f>
        <v>3.9999999999999996</v>
      </c>
      <c r="AV57" s="55"/>
      <c r="AW57" s="55"/>
      <c r="AX57" s="55"/>
      <c r="AY57" s="55"/>
      <c r="AZ57" s="55"/>
      <c r="BA57" s="55"/>
      <c r="BB57" s="55"/>
      <c r="BC57" s="55"/>
      <c r="BD57" s="55"/>
      <c r="BE57" s="55"/>
      <c r="BF57" s="55"/>
      <c r="BG57" s="55"/>
    </row>
    <row r="58" spans="1:59" ht="17.7" x14ac:dyDescent="0.55000000000000004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55"/>
      <c r="AB58" s="77"/>
      <c r="AC58" s="77"/>
      <c r="AD58" s="77"/>
      <c r="AE58" s="77"/>
      <c r="AF58" s="77"/>
      <c r="AG58" s="51"/>
      <c r="AH58" s="51"/>
      <c r="AI58" s="51"/>
      <c r="AJ58" s="51"/>
      <c r="AK58" s="51"/>
      <c r="AL58" s="51"/>
      <c r="AM58" s="55"/>
      <c r="AO58" s="55" t="s">
        <v>67</v>
      </c>
      <c r="AP58" s="55">
        <v>8</v>
      </c>
      <c r="AQ58" s="55"/>
      <c r="AR58" s="55"/>
      <c r="AS58" s="55"/>
      <c r="AT58" s="55" t="s">
        <v>68</v>
      </c>
      <c r="AU58" s="55">
        <v>3</v>
      </c>
      <c r="AV58" s="55"/>
      <c r="AW58" s="55"/>
      <c r="AX58" s="55"/>
      <c r="AY58" s="55"/>
      <c r="AZ58" s="55"/>
      <c r="BA58" s="55"/>
      <c r="BB58" s="55"/>
      <c r="BC58" s="55"/>
      <c r="BD58" s="55"/>
      <c r="BE58" s="55"/>
      <c r="BF58" s="55"/>
      <c r="BG58" s="55"/>
    </row>
    <row r="59" spans="1:59" ht="17.7" x14ac:dyDescent="0.6">
      <c r="A59" s="83"/>
      <c r="B59" s="83"/>
      <c r="C59" s="83"/>
      <c r="D59" s="83"/>
      <c r="E59" s="83"/>
      <c r="F59" s="83"/>
      <c r="G59" s="83"/>
      <c r="H59" s="74"/>
      <c r="I59" s="74"/>
      <c r="J59" s="74"/>
      <c r="K59" s="74"/>
      <c r="L59" s="74"/>
      <c r="M59" s="74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55"/>
      <c r="AB59" s="84"/>
      <c r="AC59" s="84"/>
      <c r="AD59" s="84"/>
      <c r="AE59" s="84"/>
      <c r="AF59" s="84"/>
      <c r="AG59" s="85"/>
      <c r="AH59" s="85"/>
      <c r="AI59" s="70"/>
      <c r="AJ59" s="70"/>
      <c r="AK59" s="70"/>
      <c r="AL59" s="70"/>
      <c r="AM59" s="55"/>
      <c r="AO59" s="55" t="s">
        <v>68</v>
      </c>
      <c r="AP59" s="55">
        <v>3</v>
      </c>
      <c r="AQ59" s="55"/>
      <c r="AR59" s="55"/>
      <c r="AS59" s="55"/>
      <c r="AT59" s="55" t="s">
        <v>69</v>
      </c>
      <c r="AU59" s="19">
        <f>AU57/AU58</f>
        <v>1.3333333333333333</v>
      </c>
      <c r="AV59" s="55"/>
      <c r="AW59" s="55"/>
      <c r="AX59" s="55"/>
      <c r="AY59" s="55"/>
      <c r="AZ59" s="55"/>
      <c r="BA59" s="55"/>
      <c r="BB59" s="55"/>
      <c r="BC59" s="55"/>
      <c r="BD59" s="55"/>
      <c r="BE59" s="55"/>
      <c r="BF59" s="55"/>
      <c r="BG59" s="55"/>
    </row>
    <row r="60" spans="1:59" ht="17.7" x14ac:dyDescent="0.6">
      <c r="A60" s="83"/>
      <c r="B60" s="83"/>
      <c r="C60" s="83"/>
      <c r="D60" s="83"/>
      <c r="E60" s="83"/>
      <c r="F60" s="83"/>
      <c r="G60" s="83"/>
      <c r="H60" s="74"/>
      <c r="I60" s="74"/>
      <c r="J60" s="74"/>
      <c r="K60" s="74"/>
      <c r="L60" s="74"/>
      <c r="M60" s="74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55"/>
      <c r="AB60" s="84"/>
      <c r="AC60" s="84"/>
      <c r="AD60" s="84"/>
      <c r="AE60" s="84"/>
      <c r="AF60" s="84"/>
      <c r="AG60" s="85"/>
      <c r="AH60" s="85"/>
      <c r="AI60" s="70"/>
      <c r="AJ60" s="70"/>
      <c r="AK60" s="70"/>
      <c r="AL60" s="70"/>
      <c r="AM60" s="55"/>
      <c r="AO60" s="55" t="s">
        <v>69</v>
      </c>
      <c r="AP60" s="19">
        <f>AP58/AP59</f>
        <v>2.6666666666666665</v>
      </c>
      <c r="AQ60" s="55"/>
      <c r="AR60" s="55"/>
      <c r="AS60" s="55"/>
      <c r="AT60" s="82" t="s">
        <v>70</v>
      </c>
      <c r="AU60" s="82"/>
      <c r="AV60" s="82"/>
      <c r="AW60" s="55"/>
      <c r="AX60" s="55"/>
      <c r="AY60" s="55"/>
      <c r="AZ60" s="55"/>
      <c r="BA60" s="55"/>
      <c r="BB60" s="55"/>
      <c r="BC60" s="55"/>
      <c r="BD60" s="55"/>
      <c r="BE60" s="55"/>
      <c r="BF60" s="55"/>
      <c r="BG60" s="55"/>
    </row>
    <row r="61" spans="1:59" ht="17.7" x14ac:dyDescent="0.6">
      <c r="A61" s="83"/>
      <c r="B61" s="83"/>
      <c r="C61" s="83"/>
      <c r="D61" s="83"/>
      <c r="E61" s="83"/>
      <c r="F61" s="83"/>
      <c r="G61" s="83"/>
      <c r="H61" s="74"/>
      <c r="I61" s="74"/>
      <c r="J61" s="74"/>
      <c r="K61" s="74"/>
      <c r="L61" s="74"/>
      <c r="M61" s="74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55"/>
      <c r="AB61" s="84"/>
      <c r="AC61" s="84"/>
      <c r="AD61" s="84"/>
      <c r="AE61" s="84"/>
      <c r="AF61" s="84"/>
      <c r="AG61" s="85"/>
      <c r="AH61" s="85"/>
      <c r="AI61" s="70"/>
      <c r="AJ61" s="70"/>
      <c r="AK61" s="70"/>
      <c r="AL61" s="70"/>
      <c r="AM61" s="55"/>
      <c r="AO61" s="72" t="s">
        <v>70</v>
      </c>
      <c r="AP61" s="72"/>
      <c r="AQ61" s="72"/>
      <c r="AR61" s="55"/>
      <c r="AS61" s="55"/>
      <c r="AT61" s="55"/>
      <c r="AU61" s="55">
        <v>2</v>
      </c>
      <c r="AV61" s="19">
        <f>AU61+AU59</f>
        <v>3.333333333333333</v>
      </c>
      <c r="AW61" s="55"/>
      <c r="AX61" s="55"/>
      <c r="AY61" s="55"/>
      <c r="AZ61" s="55"/>
      <c r="BA61" s="55"/>
      <c r="BB61" s="55"/>
      <c r="BC61" s="55"/>
      <c r="BD61" s="55"/>
      <c r="BE61" s="55"/>
      <c r="BF61" s="55"/>
      <c r="BG61" s="55"/>
    </row>
    <row r="62" spans="1:59" ht="15.3" x14ac:dyDescent="0.55000000000000004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M62" s="55"/>
      <c r="AO62" s="55"/>
      <c r="AP62" s="55">
        <v>1</v>
      </c>
      <c r="AQ62" s="19">
        <f>AP62+AP60</f>
        <v>3.6666666666666665</v>
      </c>
      <c r="AR62" s="55"/>
      <c r="AS62" s="55"/>
      <c r="AT62" s="55"/>
      <c r="AU62" s="55">
        <v>3.4</v>
      </c>
      <c r="AV62" s="19">
        <f>AU62+AU59</f>
        <v>4.7333333333333334</v>
      </c>
      <c r="AW62" s="55"/>
      <c r="AX62" s="55"/>
      <c r="AY62" s="55"/>
      <c r="AZ62" s="55"/>
      <c r="BA62" s="55"/>
      <c r="BB62" s="55"/>
      <c r="BC62" s="55"/>
      <c r="BD62" s="55"/>
      <c r="BE62" s="55"/>
      <c r="BF62" s="55"/>
      <c r="BG62" s="55"/>
    </row>
    <row r="63" spans="1:59" ht="15.3" x14ac:dyDescent="0.55000000000000004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M63" s="55"/>
      <c r="AO63" s="55"/>
      <c r="AP63" s="73" t="s">
        <v>130</v>
      </c>
      <c r="AQ63" s="71">
        <v>6.4</v>
      </c>
      <c r="AR63" s="55"/>
      <c r="AS63" s="55"/>
      <c r="AT63" s="55"/>
      <c r="AU63" s="55">
        <v>4.8</v>
      </c>
      <c r="AV63" s="55">
        <v>6</v>
      </c>
      <c r="AW63" s="55"/>
      <c r="AX63" s="55"/>
      <c r="AY63" s="55"/>
      <c r="AZ63" s="55"/>
      <c r="BA63" s="55"/>
      <c r="BB63" s="55"/>
      <c r="BC63" s="55"/>
      <c r="BD63" s="55"/>
      <c r="BE63" s="55"/>
      <c r="BF63" s="55"/>
      <c r="BG63" s="55"/>
    </row>
    <row r="64" spans="1:59" ht="15.3" x14ac:dyDescent="0.55000000000000004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M64" s="55"/>
      <c r="AO64" s="55"/>
      <c r="AP64" s="73" t="s">
        <v>131</v>
      </c>
      <c r="AQ64" s="55">
        <v>3</v>
      </c>
    </row>
    <row r="65" spans="1:39" ht="15.3" x14ac:dyDescent="0.55000000000000004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M65" s="55"/>
    </row>
    <row r="66" spans="1:39" ht="15.3" x14ac:dyDescent="0.55000000000000004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M66" s="55"/>
    </row>
    <row r="67" spans="1:39" ht="15.3" x14ac:dyDescent="0.55000000000000004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M67" s="55"/>
    </row>
    <row r="68" spans="1:39" ht="15.3" x14ac:dyDescent="0.55000000000000004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</row>
    <row r="69" spans="1:39" ht="15.3" x14ac:dyDescent="0.55000000000000004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</row>
    <row r="70" spans="1:39" ht="15.3" x14ac:dyDescent="0.55000000000000004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</row>
    <row r="71" spans="1:39" ht="15.3" x14ac:dyDescent="0.55000000000000004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</row>
    <row r="72" spans="1:39" ht="15.3" x14ac:dyDescent="0.55000000000000004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</row>
    <row r="73" spans="1:39" ht="15.3" x14ac:dyDescent="0.55000000000000004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</row>
    <row r="74" spans="1:39" ht="15.3" x14ac:dyDescent="0.55000000000000004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</row>
    <row r="75" spans="1:39" ht="15.3" x14ac:dyDescent="0.55000000000000004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</row>
    <row r="76" spans="1:39" ht="15.3" x14ac:dyDescent="0.55000000000000004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</row>
    <row r="77" spans="1:39" ht="15.3" x14ac:dyDescent="0.55000000000000004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</row>
    <row r="78" spans="1:39" ht="15.3" x14ac:dyDescent="0.55000000000000004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</row>
    <row r="79" spans="1:39" ht="15.3" x14ac:dyDescent="0.55000000000000004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</row>
    <row r="80" spans="1:39" ht="15.3" x14ac:dyDescent="0.55000000000000004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</row>
    <row r="81" spans="1:30" ht="15.3" x14ac:dyDescent="0.55000000000000004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</row>
    <row r="82" spans="1:30" ht="15.3" x14ac:dyDescent="0.55000000000000004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</row>
    <row r="83" spans="1:30" ht="15.3" x14ac:dyDescent="0.55000000000000004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</row>
    <row r="84" spans="1:30" ht="15.3" x14ac:dyDescent="0.55000000000000004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</row>
    <row r="85" spans="1:30" ht="15.3" x14ac:dyDescent="0.55000000000000004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</row>
    <row r="86" spans="1:30" ht="15.3" x14ac:dyDescent="0.55000000000000004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</row>
    <row r="87" spans="1:30" ht="15.3" x14ac:dyDescent="0.55000000000000004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</row>
    <row r="88" spans="1:30" ht="15.3" x14ac:dyDescent="0.55000000000000004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</row>
    <row r="89" spans="1:30" ht="15.3" x14ac:dyDescent="0.55000000000000004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</row>
    <row r="90" spans="1:30" ht="15.3" x14ac:dyDescent="0.55000000000000004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</row>
    <row r="91" spans="1:30" ht="15.3" x14ac:dyDescent="0.55000000000000004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</row>
    <row r="92" spans="1:30" ht="15.3" x14ac:dyDescent="0.55000000000000004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</row>
    <row r="93" spans="1:30" ht="15.3" x14ac:dyDescent="0.55000000000000004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</row>
    <row r="94" spans="1:30" ht="15.3" x14ac:dyDescent="0.55000000000000004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</row>
    <row r="95" spans="1:30" ht="15.3" x14ac:dyDescent="0.55000000000000004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</row>
    <row r="96" spans="1:30" ht="15.3" x14ac:dyDescent="0.55000000000000004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</row>
    <row r="97" spans="1:30" ht="15.3" x14ac:dyDescent="0.55000000000000004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</row>
    <row r="98" spans="1:30" ht="15.3" x14ac:dyDescent="0.55000000000000004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</row>
    <row r="99" spans="1:30" ht="15.3" x14ac:dyDescent="0.55000000000000004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</row>
    <row r="100" spans="1:30" ht="15.3" x14ac:dyDescent="0.55000000000000004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</row>
    <row r="101" spans="1:30" ht="15.3" x14ac:dyDescent="0.55000000000000004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</row>
    <row r="102" spans="1:30" ht="15.3" x14ac:dyDescent="0.55000000000000004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</row>
    <row r="103" spans="1:30" ht="15.3" x14ac:dyDescent="0.55000000000000004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</row>
    <row r="104" spans="1:30" ht="15.3" x14ac:dyDescent="0.55000000000000004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</row>
    <row r="105" spans="1:30" ht="15.3" x14ac:dyDescent="0.55000000000000004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</row>
    <row r="106" spans="1:30" ht="15.3" x14ac:dyDescent="0.55000000000000004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</row>
    <row r="107" spans="1:30" ht="15.3" x14ac:dyDescent="0.55000000000000004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</row>
    <row r="108" spans="1:30" ht="15.3" x14ac:dyDescent="0.55000000000000004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</row>
    <row r="109" spans="1:30" ht="15.3" x14ac:dyDescent="0.55000000000000004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</row>
    <row r="110" spans="1:30" ht="15.3" x14ac:dyDescent="0.55000000000000004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</row>
    <row r="111" spans="1:30" ht="15.3" x14ac:dyDescent="0.55000000000000004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</row>
    <row r="112" spans="1:30" ht="15.3" x14ac:dyDescent="0.55000000000000004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</row>
    <row r="113" spans="1:30" ht="15.3" x14ac:dyDescent="0.55000000000000004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</row>
    <row r="114" spans="1:30" ht="15.3" x14ac:dyDescent="0.55000000000000004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</row>
    <row r="115" spans="1:30" ht="15.3" x14ac:dyDescent="0.55000000000000004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</row>
    <row r="116" spans="1:30" ht="15.3" x14ac:dyDescent="0.55000000000000004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</row>
    <row r="117" spans="1:30" ht="15.3" x14ac:dyDescent="0.55000000000000004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</row>
  </sheetData>
  <sheetProtection sheet="1" objects="1" scenarios="1"/>
  <mergeCells count="118">
    <mergeCell ref="AE22:AF22"/>
    <mergeCell ref="AE23:AF23"/>
    <mergeCell ref="AE24:AF24"/>
    <mergeCell ref="L25:AD25"/>
    <mergeCell ref="AE25:AF25"/>
    <mergeCell ref="L26:AD26"/>
    <mergeCell ref="AE26:AF26"/>
    <mergeCell ref="L27:AD27"/>
    <mergeCell ref="AE27:AF27"/>
    <mergeCell ref="L22:AD22"/>
    <mergeCell ref="L23:AD23"/>
    <mergeCell ref="L24:AD24"/>
    <mergeCell ref="A22:B22"/>
    <mergeCell ref="A23:B23"/>
    <mergeCell ref="A24:B24"/>
    <mergeCell ref="A25:B25"/>
    <mergeCell ref="A26:B26"/>
    <mergeCell ref="A27:B27"/>
    <mergeCell ref="A21:B21"/>
    <mergeCell ref="AK21:AM21"/>
    <mergeCell ref="AE21:AF21"/>
    <mergeCell ref="L21:AD21"/>
    <mergeCell ref="C22:K22"/>
    <mergeCell ref="AG22:AJ22"/>
    <mergeCell ref="AK22:AM22"/>
    <mergeCell ref="C23:K23"/>
    <mergeCell ref="AG23:AJ23"/>
    <mergeCell ref="AK23:AM23"/>
    <mergeCell ref="C24:K24"/>
    <mergeCell ref="AG24:AJ24"/>
    <mergeCell ref="AK24:AM24"/>
    <mergeCell ref="C25:K25"/>
    <mergeCell ref="AG25:AJ25"/>
    <mergeCell ref="AK25:AM25"/>
    <mergeCell ref="C26:K26"/>
    <mergeCell ref="AG26:AJ26"/>
    <mergeCell ref="A1:AM1"/>
    <mergeCell ref="A4:M4"/>
    <mergeCell ref="N4:AM4"/>
    <mergeCell ref="A10:AM11"/>
    <mergeCell ref="A18:T18"/>
    <mergeCell ref="U18:W18"/>
    <mergeCell ref="A13:H13"/>
    <mergeCell ref="N5:AM5"/>
    <mergeCell ref="N6:AM6"/>
    <mergeCell ref="N7:AM7"/>
    <mergeCell ref="N8:AM8"/>
    <mergeCell ref="A5:M8"/>
    <mergeCell ref="N3:AM3"/>
    <mergeCell ref="A3:M3"/>
    <mergeCell ref="X18:Z18"/>
    <mergeCell ref="A20:AM20"/>
    <mergeCell ref="C21:K21"/>
    <mergeCell ref="AG21:AJ21"/>
    <mergeCell ref="I13:M13"/>
    <mergeCell ref="A14:H14"/>
    <mergeCell ref="I14:M14"/>
    <mergeCell ref="A15:H15"/>
    <mergeCell ref="I15:M15"/>
    <mergeCell ref="A16:H16"/>
    <mergeCell ref="I16:M16"/>
    <mergeCell ref="AU47:AV47"/>
    <mergeCell ref="AK26:AM26"/>
    <mergeCell ref="C27:K27"/>
    <mergeCell ref="AG27:AJ27"/>
    <mergeCell ref="AK27:AM27"/>
    <mergeCell ref="A37:AA37"/>
    <mergeCell ref="A38:G38"/>
    <mergeCell ref="H38:O38"/>
    <mergeCell ref="P38:AA38"/>
    <mergeCell ref="A39:G39"/>
    <mergeCell ref="H39:O39"/>
    <mergeCell ref="P39:AA39"/>
    <mergeCell ref="A28:AJ28"/>
    <mergeCell ref="AK28:AM28"/>
    <mergeCell ref="A30:AM30"/>
    <mergeCell ref="D32:E32"/>
    <mergeCell ref="F32:G32"/>
    <mergeCell ref="H32:I32"/>
    <mergeCell ref="J32:K32"/>
    <mergeCell ref="L32:N32"/>
    <mergeCell ref="P32:R32"/>
    <mergeCell ref="A43:G43"/>
    <mergeCell ref="A44:M44"/>
    <mergeCell ref="AO46:AQ46"/>
    <mergeCell ref="AT46:AV46"/>
    <mergeCell ref="A40:G40"/>
    <mergeCell ref="H40:O40"/>
    <mergeCell ref="P40:AA40"/>
    <mergeCell ref="A41:G41"/>
    <mergeCell ref="H41:O41"/>
    <mergeCell ref="P41:AA41"/>
    <mergeCell ref="H43:S43"/>
    <mergeCell ref="N44:Q44"/>
    <mergeCell ref="AT60:AV60"/>
    <mergeCell ref="A61:G61"/>
    <mergeCell ref="H61:M61"/>
    <mergeCell ref="AB61:AF61"/>
    <mergeCell ref="AG61:AH61"/>
    <mergeCell ref="A59:G59"/>
    <mergeCell ref="H59:M59"/>
    <mergeCell ref="AB59:AF59"/>
    <mergeCell ref="AG59:AH59"/>
    <mergeCell ref="A60:G60"/>
    <mergeCell ref="H60:M60"/>
    <mergeCell ref="AB60:AF60"/>
    <mergeCell ref="AG60:AH60"/>
    <mergeCell ref="A51:I51"/>
    <mergeCell ref="J51:L51"/>
    <mergeCell ref="AB57:AC57"/>
    <mergeCell ref="A58:G58"/>
    <mergeCell ref="H58:M58"/>
    <mergeCell ref="AB58:AF58"/>
    <mergeCell ref="AO47:AO48"/>
    <mergeCell ref="AP47:AQ47"/>
    <mergeCell ref="AT47:AT48"/>
    <mergeCell ref="A49:G49"/>
    <mergeCell ref="A50:G50"/>
  </mergeCells>
  <conditionalFormatting sqref="H43:S43">
    <cfRule type="expression" dxfId="8" priority="4">
      <formula>AND(H43&gt;=1, H43&lt;=3.6)</formula>
    </cfRule>
    <cfRule type="expression" dxfId="7" priority="5">
      <formula>AND(H43&gt;3.6, H43&lt;=6.3)</formula>
    </cfRule>
    <cfRule type="cellIs" dxfId="6" priority="7" operator="greaterThan">
      <formula>6.3</formula>
    </cfRule>
  </conditionalFormatting>
  <conditionalFormatting sqref="N44:Q44">
    <cfRule type="cellIs" dxfId="5" priority="1" operator="equal">
      <formula>"Trimestral"</formula>
    </cfRule>
    <cfRule type="cellIs" dxfId="4" priority="2" operator="equal">
      <formula>"Anual"</formula>
    </cfRule>
    <cfRule type="cellIs" dxfId="3" priority="3" operator="equal">
      <formula>"Semestral"</formula>
    </cfRule>
  </conditionalFormatting>
  <conditionalFormatting sqref="U18:W18">
    <cfRule type="cellIs" dxfId="2" priority="8" operator="equal">
      <formula>"Bajo"</formula>
    </cfRule>
    <cfRule type="cellIs" dxfId="1" priority="9" operator="equal">
      <formula>"Medio"</formula>
    </cfRule>
    <cfRule type="cellIs" dxfId="0" priority="10" operator="equal">
      <formula>"Alto"</formula>
    </cfRule>
  </conditionalFormatting>
  <dataValidations disablePrompts="1" count="11">
    <dataValidation type="list" allowBlank="1" showInputMessage="1" showErrorMessage="1" sqref="J33" xr:uid="{2C854955-D795-4A13-8D7D-AFA2AA3A9F29}">
      <formula1>$AY$47:$AY$49</formula1>
    </dataValidation>
    <dataValidation type="list" allowBlank="1" showInputMessage="1" showErrorMessage="1" sqref="J51 M51:Z51" xr:uid="{E7B26870-ED45-45A3-9BC9-9BCEC660AEA1}">
      <formula1>$AX$47:$AX$49</formula1>
    </dataValidation>
    <dataValidation type="list" allowBlank="1" showInputMessage="1" showErrorMessage="1" sqref="H49" xr:uid="{0B75D2AE-BA07-449B-8A03-8ACABA21D889}">
      <formula1>$AV$25:$AV$27</formula1>
    </dataValidation>
    <dataValidation type="list" allowBlank="1" showInputMessage="1" showErrorMessage="1" sqref="J50" xr:uid="{153EDF9B-06B6-48A3-9BB2-7E3CDABBA463}">
      <formula1>$AW$25:$AW$27</formula1>
    </dataValidation>
    <dataValidation type="list" allowBlank="1" showInputMessage="1" showErrorMessage="1" sqref="U18:W18" xr:uid="{4242425C-3DEE-4023-8053-207E89D0BBE2}">
      <formula1>"Bajo,Medio,Alto"</formula1>
    </dataValidation>
    <dataValidation type="list" allowBlank="1" showInputMessage="1" showErrorMessage="1" sqref="L22:AD22" xr:uid="{3A615168-210A-47E4-8039-C04D249FE34B}">
      <formula1>"Grande (&gt;2.000.000 por mes),Mediano (800.000 - 2.000.000 por mes),Pequeño (200.000 - 800.000 por mes),Micro (&lt;200.000 por mes)"</formula1>
    </dataValidation>
    <dataValidation type="list" allowBlank="1" showInputMessage="1" showErrorMessage="1" sqref="L23" xr:uid="{493A628F-761B-4591-90D4-A64D13486A2B}">
      <formula1>"No tiene implementado el sistema HACCP,Tiene implementado el HACCP en el 25% de las líneas de producción,Tiene implementado el HACCP en el 75% de las líneas de producción,Tiene implementado el HACCP en todas las líneas de producción"</formula1>
    </dataValidation>
    <dataValidation type="list" allowBlank="1" showInputMessage="1" showErrorMessage="1" sqref="L24" xr:uid="{094B8FBE-16B7-4FD5-B04F-EB8C228763ED}">
      <formula1>"≤ 60%,&gt;60%-70%,&gt;70%-80%,&gt;80%"</formula1>
    </dataValidation>
    <dataValidation type="list" allowBlank="1" showInputMessage="1" showErrorMessage="1" sqref="L25" xr:uid="{39BC7C35-BEE5-4FB8-B6BE-B6C0B3986C0A}">
      <formula1>"Los productos que elaboran los sirven a nivel nacional,Los productos que elaboran los sirven a nivel regional,Los productos que elaboran los sirven a nivel local,No es suplidor del INABIE"</formula1>
    </dataValidation>
    <dataValidation type="list" allowBlank="1" showInputMessage="1" showErrorMessage="1" sqref="L26" xr:uid="{0F1764C9-DE52-4E2B-AD67-C578301DC6C8}">
      <formula1>"Tiene más de 2 rechazos en los últimos 5 años,Tiene 2 rechazos en los últimos 5 años,Tiene 1 rechazo en los últimos 5 años,No tiene ningún rechazo en los últimos 5 años"</formula1>
    </dataValidation>
    <dataValidation type="list" allowBlank="1" showInputMessage="1" showErrorMessage="1" sqref="L27" xr:uid="{AFE25870-CE71-49FA-B95E-1D2600A1B63A}">
      <formula1>"No cuenta con plan de muestreo microbiológico,Plan de muestreo en materias primas,Plan de muestreo en áreas de proceso y producto terminado,Plan de muestreo en materias primas y áreas de proceso y producto terminado"</formula1>
    </dataValidation>
  </dataValidations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F4D79-397F-4D03-9A45-96A9E2E64C5D}">
  <dimension ref="A1:W6"/>
  <sheetViews>
    <sheetView workbookViewId="0">
      <selection activeCell="C5" sqref="A5:K5"/>
    </sheetView>
  </sheetViews>
  <sheetFormatPr baseColWidth="10" defaultRowHeight="15.3" x14ac:dyDescent="0.55000000000000004"/>
  <cols>
    <col min="12" max="23" width="10.9453125" style="246"/>
  </cols>
  <sheetData>
    <row r="1" spans="1:23" x14ac:dyDescent="0.55000000000000004">
      <c r="A1" s="240">
        <v>1</v>
      </c>
      <c r="B1" s="241"/>
      <c r="C1" s="242" t="s">
        <v>3</v>
      </c>
      <c r="D1" s="242"/>
      <c r="E1" s="242"/>
      <c r="F1" s="242"/>
      <c r="G1" s="242"/>
      <c r="H1" s="242"/>
      <c r="I1" s="242"/>
      <c r="J1" s="242"/>
      <c r="K1" s="242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</row>
    <row r="2" spans="1:23" x14ac:dyDescent="0.55000000000000004">
      <c r="A2" s="247">
        <v>2</v>
      </c>
      <c r="B2" s="248"/>
      <c r="C2" s="249" t="s">
        <v>4</v>
      </c>
      <c r="D2" s="249"/>
      <c r="E2" s="249"/>
      <c r="F2" s="249"/>
      <c r="G2" s="249"/>
      <c r="H2" s="249"/>
      <c r="I2" s="249"/>
      <c r="J2" s="249"/>
      <c r="K2" s="249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</row>
    <row r="3" spans="1:23" x14ac:dyDescent="0.55000000000000004">
      <c r="A3" s="136">
        <v>3</v>
      </c>
      <c r="B3" s="137"/>
      <c r="C3" s="98" t="s">
        <v>5</v>
      </c>
      <c r="D3" s="98"/>
      <c r="E3" s="98"/>
      <c r="F3" s="98"/>
      <c r="G3" s="98"/>
      <c r="H3" s="98"/>
      <c r="I3" s="98"/>
      <c r="J3" s="98"/>
      <c r="K3" s="98"/>
      <c r="L3" s="244" t="s">
        <v>172</v>
      </c>
      <c r="M3" s="244"/>
      <c r="N3" s="244"/>
      <c r="O3" s="244"/>
      <c r="P3" s="244"/>
      <c r="Q3" s="244"/>
      <c r="R3" s="244"/>
      <c r="S3" s="244"/>
      <c r="T3" s="244"/>
      <c r="U3" s="244"/>
      <c r="V3" s="244"/>
      <c r="W3" s="244"/>
    </row>
    <row r="4" spans="1:23" x14ac:dyDescent="0.55000000000000004">
      <c r="A4" s="240">
        <v>4</v>
      </c>
      <c r="B4" s="241"/>
      <c r="C4" s="242" t="s">
        <v>6</v>
      </c>
      <c r="D4" s="242"/>
      <c r="E4" s="242"/>
      <c r="F4" s="242"/>
      <c r="G4" s="242"/>
      <c r="H4" s="242"/>
      <c r="I4" s="242"/>
      <c r="J4" s="242"/>
      <c r="K4" s="242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</row>
    <row r="5" spans="1:23" x14ac:dyDescent="0.55000000000000004">
      <c r="A5" s="136">
        <v>5</v>
      </c>
      <c r="B5" s="137"/>
      <c r="C5" s="98" t="s">
        <v>7</v>
      </c>
      <c r="D5" s="98"/>
      <c r="E5" s="98"/>
      <c r="F5" s="98"/>
      <c r="G5" s="98"/>
      <c r="H5" s="98"/>
      <c r="I5" s="98"/>
      <c r="J5" s="98"/>
      <c r="K5" s="98"/>
      <c r="L5" s="244"/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4"/>
    </row>
    <row r="6" spans="1:23" x14ac:dyDescent="0.55000000000000004">
      <c r="A6" s="240">
        <v>6</v>
      </c>
      <c r="B6" s="241"/>
      <c r="C6" s="243" t="s">
        <v>58</v>
      </c>
      <c r="D6" s="243"/>
      <c r="E6" s="243"/>
      <c r="F6" s="243"/>
      <c r="G6" s="243"/>
      <c r="H6" s="243"/>
      <c r="I6" s="243"/>
      <c r="J6" s="243"/>
      <c r="K6" s="243"/>
      <c r="L6" s="244"/>
      <c r="M6" s="244"/>
      <c r="N6" s="244"/>
      <c r="O6" s="244"/>
      <c r="P6" s="244"/>
      <c r="Q6" s="244"/>
      <c r="R6" s="244"/>
      <c r="S6" s="244"/>
      <c r="T6" s="244"/>
      <c r="U6" s="244"/>
      <c r="V6" s="244"/>
      <c r="W6" s="244"/>
    </row>
  </sheetData>
  <mergeCells count="12">
    <mergeCell ref="A5:B5"/>
    <mergeCell ref="C5:K5"/>
    <mergeCell ref="A6:B6"/>
    <mergeCell ref="C6:K6"/>
    <mergeCell ref="A3:B3"/>
    <mergeCell ref="C3:K3"/>
    <mergeCell ref="A4:B4"/>
    <mergeCell ref="C4:K4"/>
    <mergeCell ref="A1:B1"/>
    <mergeCell ref="C1:K1"/>
    <mergeCell ref="A2:B2"/>
    <mergeCell ref="C2:K2"/>
  </mergeCells>
  <dataValidations count="1">
    <dataValidation type="list" allowBlank="1" showInputMessage="1" showErrorMessage="1" sqref="L1" xr:uid="{DEF42C62-C2B5-43AC-A8B8-DAEF6BC5A6E9}">
      <formula1>"Grande (&gt;2.000.000 por mes),Mediano (800.000 - 2.000.000 por mes),Pequeño (200.000 - 800.000 por mes),Micro (&lt;200.000 por mes)"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EE471-D6B8-4566-8D1B-129459657337}">
  <dimension ref="A1:BG114"/>
  <sheetViews>
    <sheetView showGridLines="0" zoomScale="80" zoomScaleNormal="80" workbookViewId="0">
      <selection activeCell="BG26" sqref="BG26"/>
    </sheetView>
  </sheetViews>
  <sheetFormatPr baseColWidth="10" defaultColWidth="11.41796875" defaultRowHeight="14.4" x14ac:dyDescent="0.55000000000000004"/>
  <cols>
    <col min="1" max="39" width="2.68359375" customWidth="1"/>
    <col min="40" max="40" width="4.68359375" customWidth="1"/>
    <col min="41" max="57" width="0" hidden="1" customWidth="1"/>
  </cols>
  <sheetData>
    <row r="1" spans="1:41" ht="17.399999999999999" x14ac:dyDescent="0.55000000000000004">
      <c r="A1" s="147" t="s">
        <v>133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</row>
    <row r="2" spans="1:41" ht="17.399999999999999" x14ac:dyDescent="0.55000000000000004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</row>
    <row r="3" spans="1:41" ht="17.399999999999999" x14ac:dyDescent="0.55000000000000004">
      <c r="A3" s="197" t="s">
        <v>135</v>
      </c>
      <c r="B3" s="197"/>
      <c r="C3" s="197"/>
      <c r="D3" s="198">
        <v>45492</v>
      </c>
      <c r="E3" s="198"/>
      <c r="F3" s="198"/>
      <c r="G3" s="192"/>
      <c r="H3" s="192"/>
      <c r="I3" s="19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</row>
    <row r="4" spans="1:41" ht="17.399999999999999" x14ac:dyDescent="0.55000000000000004">
      <c r="A4" s="197" t="s">
        <v>153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 t="s">
        <v>143</v>
      </c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7"/>
      <c r="AK4" s="197"/>
      <c r="AL4" s="197"/>
      <c r="AM4" s="197"/>
      <c r="AN4" s="3"/>
    </row>
    <row r="5" spans="1:41" ht="17.399999999999999" x14ac:dyDescent="0.55000000000000004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3"/>
    </row>
    <row r="6" spans="1:41" ht="17.399999999999999" x14ac:dyDescent="0.55000000000000004">
      <c r="A6" s="199" t="s">
        <v>136</v>
      </c>
      <c r="B6" s="199"/>
      <c r="C6" s="199"/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3"/>
    </row>
    <row r="7" spans="1:41" ht="17.399999999999999" x14ac:dyDescent="0.55000000000000004">
      <c r="A7" s="199"/>
      <c r="B7" s="199"/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3"/>
    </row>
    <row r="8" spans="1:41" ht="17.399999999999999" x14ac:dyDescent="0.55000000000000004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3"/>
    </row>
    <row r="9" spans="1:41" ht="17.7" x14ac:dyDescent="0.55000000000000004">
      <c r="A9" s="45" t="s">
        <v>137</v>
      </c>
      <c r="B9" s="45"/>
      <c r="C9" s="45"/>
      <c r="D9" s="45"/>
      <c r="E9" s="45"/>
      <c r="F9" s="45"/>
      <c r="G9" s="45"/>
      <c r="H9" s="45"/>
      <c r="I9" s="175" t="s">
        <v>19</v>
      </c>
      <c r="J9" s="175"/>
      <c r="K9" s="175"/>
      <c r="L9" s="175"/>
      <c r="M9" s="175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C9" s="3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3"/>
    </row>
    <row r="10" spans="1:41" ht="17.7" x14ac:dyDescent="0.55000000000000004">
      <c r="A10" s="193" t="s">
        <v>61</v>
      </c>
      <c r="B10" s="193"/>
      <c r="C10" s="193"/>
      <c r="D10" s="193"/>
      <c r="E10" s="193"/>
      <c r="F10" s="193"/>
      <c r="G10" s="193"/>
      <c r="H10" s="193"/>
      <c r="I10" s="194">
        <v>1</v>
      </c>
      <c r="J10" s="194"/>
      <c r="K10" s="194"/>
      <c r="L10" s="194"/>
      <c r="M10" s="194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C10" s="37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3"/>
    </row>
    <row r="11" spans="1:41" ht="17.7" x14ac:dyDescent="0.55000000000000004">
      <c r="A11" s="195" t="s">
        <v>60</v>
      </c>
      <c r="B11" s="195"/>
      <c r="C11" s="195"/>
      <c r="D11" s="195"/>
      <c r="E11" s="195"/>
      <c r="F11" s="195"/>
      <c r="G11" s="195"/>
      <c r="H11" s="195"/>
      <c r="I11" s="194">
        <v>2</v>
      </c>
      <c r="J11" s="194"/>
      <c r="K11" s="194"/>
      <c r="L11" s="194"/>
      <c r="M11" s="194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C11" s="37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3"/>
    </row>
    <row r="12" spans="1:41" ht="17.7" x14ac:dyDescent="0.55000000000000004">
      <c r="A12" s="196" t="s">
        <v>132</v>
      </c>
      <c r="B12" s="196"/>
      <c r="C12" s="196"/>
      <c r="D12" s="196"/>
      <c r="E12" s="196"/>
      <c r="F12" s="196"/>
      <c r="G12" s="196"/>
      <c r="H12" s="196"/>
      <c r="I12" s="194">
        <v>3</v>
      </c>
      <c r="J12" s="194"/>
      <c r="K12" s="194"/>
      <c r="L12" s="194"/>
      <c r="M12" s="194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37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3"/>
    </row>
    <row r="13" spans="1:41" ht="17.399999999999999" x14ac:dyDescent="0.55000000000000004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3"/>
    </row>
    <row r="14" spans="1:41" ht="17.399999999999999" x14ac:dyDescent="0.55000000000000004">
      <c r="A14" s="191" t="s">
        <v>134</v>
      </c>
      <c r="B14" s="191"/>
      <c r="C14" s="191"/>
      <c r="D14" s="191"/>
      <c r="E14" s="191"/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200" t="s">
        <v>21</v>
      </c>
      <c r="V14" s="201"/>
      <c r="W14" s="202"/>
      <c r="X14" s="203">
        <v>2</v>
      </c>
      <c r="Y14" s="204"/>
      <c r="Z14" s="43"/>
      <c r="AB14" s="1"/>
      <c r="AC14" s="1"/>
      <c r="AD14" s="1"/>
    </row>
    <row r="15" spans="1:41" ht="17.399999999999999" x14ac:dyDescent="0.55000000000000004">
      <c r="C15" s="3"/>
      <c r="D15" s="3"/>
      <c r="E15" s="3"/>
      <c r="F15" s="3"/>
      <c r="G15" s="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O15" s="1" t="s">
        <v>106</v>
      </c>
    </row>
    <row r="16" spans="1:41" ht="17.399999999999999" x14ac:dyDescent="0.55000000000000004">
      <c r="A16" s="191" t="s">
        <v>1</v>
      </c>
      <c r="B16" s="191"/>
      <c r="C16" s="191"/>
      <c r="D16" s="191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  <c r="AB16" s="191"/>
      <c r="AC16" s="191"/>
      <c r="AD16" s="191"/>
      <c r="AE16" s="191"/>
      <c r="AF16" s="191"/>
      <c r="AG16" s="191"/>
      <c r="AH16" s="191"/>
      <c r="AI16" s="191"/>
      <c r="AJ16" s="191"/>
      <c r="AK16" s="191"/>
      <c r="AL16" s="191"/>
      <c r="AM16" s="191"/>
      <c r="AO16" s="1" t="s">
        <v>107</v>
      </c>
    </row>
    <row r="17" spans="1:49" ht="17.399999999999999" x14ac:dyDescent="0.55000000000000004">
      <c r="A17" s="4" t="s">
        <v>9</v>
      </c>
      <c r="B17" s="4"/>
      <c r="C17" s="192" t="s">
        <v>2</v>
      </c>
      <c r="D17" s="192"/>
      <c r="E17" s="192"/>
      <c r="F17" s="192"/>
      <c r="G17" s="192"/>
      <c r="H17" s="192"/>
      <c r="I17" s="192"/>
      <c r="J17" s="192"/>
      <c r="K17" s="192"/>
      <c r="L17" s="192" t="s">
        <v>10</v>
      </c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 t="s">
        <v>11</v>
      </c>
      <c r="AH17" s="192"/>
      <c r="AI17" s="192"/>
      <c r="AJ17" s="192"/>
      <c r="AK17" s="8" t="s">
        <v>12</v>
      </c>
      <c r="AL17" s="8"/>
      <c r="AM17" s="8"/>
      <c r="AO17" s="1" t="s">
        <v>108</v>
      </c>
      <c r="AV17" t="s">
        <v>20</v>
      </c>
    </row>
    <row r="18" spans="1:49" ht="15.3" x14ac:dyDescent="0.55000000000000004">
      <c r="A18" s="9">
        <v>1</v>
      </c>
      <c r="B18" s="9"/>
      <c r="C18" s="189" t="s">
        <v>3</v>
      </c>
      <c r="D18" s="189"/>
      <c r="E18" s="189"/>
      <c r="F18" s="189"/>
      <c r="G18" s="189"/>
      <c r="H18" s="189"/>
      <c r="I18" s="189"/>
      <c r="J18" s="189"/>
      <c r="K18" s="189"/>
      <c r="L18" s="189" t="s">
        <v>106</v>
      </c>
      <c r="M18" s="189"/>
      <c r="N18" s="189"/>
      <c r="O18" s="189"/>
      <c r="P18" s="189"/>
      <c r="Q18" s="189"/>
      <c r="R18" s="189"/>
      <c r="S18" s="189"/>
      <c r="T18" s="189"/>
      <c r="U18" s="189"/>
      <c r="V18" s="189"/>
      <c r="W18" s="189"/>
      <c r="X18" s="189"/>
      <c r="Y18" s="189"/>
      <c r="Z18" s="189"/>
      <c r="AA18" s="189"/>
      <c r="AB18" s="189"/>
      <c r="AC18" s="189"/>
      <c r="AD18" s="189"/>
      <c r="AE18" s="143">
        <v>3</v>
      </c>
      <c r="AF18" s="143"/>
      <c r="AG18" s="187">
        <v>0.16</v>
      </c>
      <c r="AH18" s="187"/>
      <c r="AI18" s="187"/>
      <c r="AJ18" s="187"/>
      <c r="AK18" s="97">
        <f t="shared" ref="AK18:AK23" si="0">AE18*AG18</f>
        <v>0.48</v>
      </c>
      <c r="AL18" s="97"/>
      <c r="AM18" s="97"/>
      <c r="AO18" s="1" t="s">
        <v>109</v>
      </c>
      <c r="AV18" t="s">
        <v>21</v>
      </c>
    </row>
    <row r="19" spans="1:49" ht="30" customHeight="1" x14ac:dyDescent="0.55000000000000004">
      <c r="A19" s="9">
        <v>2</v>
      </c>
      <c r="B19" s="9"/>
      <c r="C19" s="190" t="s">
        <v>4</v>
      </c>
      <c r="D19" s="190"/>
      <c r="E19" s="190"/>
      <c r="F19" s="190"/>
      <c r="G19" s="190"/>
      <c r="H19" s="190"/>
      <c r="I19" s="190"/>
      <c r="J19" s="190"/>
      <c r="K19" s="190"/>
      <c r="L19" s="190" t="s">
        <v>110</v>
      </c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43">
        <v>3</v>
      </c>
      <c r="AF19" s="143"/>
      <c r="AG19" s="187">
        <v>0.09</v>
      </c>
      <c r="AH19" s="187"/>
      <c r="AI19" s="187"/>
      <c r="AJ19" s="187"/>
      <c r="AK19" s="97">
        <f t="shared" si="0"/>
        <v>0.27</v>
      </c>
      <c r="AL19" s="97"/>
      <c r="AM19" s="97"/>
      <c r="AO19" s="1" t="s">
        <v>110</v>
      </c>
      <c r="AV19" t="s">
        <v>16</v>
      </c>
    </row>
    <row r="20" spans="1:49" ht="15.3" x14ac:dyDescent="0.55000000000000004">
      <c r="A20" s="9">
        <v>3</v>
      </c>
      <c r="B20" s="9"/>
      <c r="C20" s="185" t="s">
        <v>5</v>
      </c>
      <c r="D20" s="185"/>
      <c r="E20" s="185"/>
      <c r="F20" s="185"/>
      <c r="G20" s="185"/>
      <c r="H20" s="185"/>
      <c r="I20" s="185"/>
      <c r="J20" s="185"/>
      <c r="K20" s="185"/>
      <c r="L20" s="169" t="s">
        <v>114</v>
      </c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  <c r="Z20" s="169"/>
      <c r="AA20" s="169"/>
      <c r="AB20" s="169"/>
      <c r="AC20" s="169"/>
      <c r="AD20" s="169"/>
      <c r="AE20" s="143">
        <v>3</v>
      </c>
      <c r="AF20" s="143"/>
      <c r="AG20" s="187">
        <v>0.56000000000000005</v>
      </c>
      <c r="AH20" s="187"/>
      <c r="AI20" s="187"/>
      <c r="AJ20" s="187"/>
      <c r="AK20" s="97">
        <f t="shared" si="0"/>
        <v>1.6800000000000002</v>
      </c>
      <c r="AL20" s="97"/>
      <c r="AM20" s="97"/>
      <c r="AO20" s="1" t="s">
        <v>111</v>
      </c>
    </row>
    <row r="21" spans="1:49" ht="15.3" x14ac:dyDescent="0.55000000000000004">
      <c r="A21" s="9">
        <v>4</v>
      </c>
      <c r="B21" s="9"/>
      <c r="C21" s="189" t="s">
        <v>6</v>
      </c>
      <c r="D21" s="189"/>
      <c r="E21" s="189"/>
      <c r="F21" s="189"/>
      <c r="G21" s="189"/>
      <c r="H21" s="189"/>
      <c r="I21" s="189"/>
      <c r="J21" s="189"/>
      <c r="K21" s="189"/>
      <c r="L21" s="169" t="s">
        <v>121</v>
      </c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  <c r="AA21" s="169"/>
      <c r="AB21" s="169"/>
      <c r="AC21" s="169"/>
      <c r="AD21" s="169"/>
      <c r="AE21" s="143">
        <v>1</v>
      </c>
      <c r="AF21" s="143"/>
      <c r="AG21" s="187">
        <v>0.05</v>
      </c>
      <c r="AH21" s="187"/>
      <c r="AI21" s="187"/>
      <c r="AJ21" s="187"/>
      <c r="AK21" s="97">
        <f t="shared" si="0"/>
        <v>0.05</v>
      </c>
      <c r="AL21" s="97"/>
      <c r="AM21" s="97"/>
      <c r="AO21" s="1" t="s">
        <v>112</v>
      </c>
      <c r="AU21">
        <v>1</v>
      </c>
      <c r="AV21">
        <v>1</v>
      </c>
      <c r="AW21">
        <v>2</v>
      </c>
    </row>
    <row r="22" spans="1:49" ht="30.9" customHeight="1" x14ac:dyDescent="0.55000000000000004">
      <c r="A22" s="9">
        <v>5</v>
      </c>
      <c r="B22" s="9"/>
      <c r="C22" s="185" t="s">
        <v>7</v>
      </c>
      <c r="D22" s="185"/>
      <c r="E22" s="185"/>
      <c r="F22" s="185"/>
      <c r="G22" s="185"/>
      <c r="H22" s="185"/>
      <c r="I22" s="185"/>
      <c r="J22" s="185"/>
      <c r="K22" s="185"/>
      <c r="L22" s="186" t="s">
        <v>125</v>
      </c>
      <c r="M22" s="186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6"/>
      <c r="AB22" s="186"/>
      <c r="AC22" s="186"/>
      <c r="AD22" s="186"/>
      <c r="AE22" s="143">
        <v>1</v>
      </c>
      <c r="AF22" s="143"/>
      <c r="AG22" s="187">
        <v>0.06</v>
      </c>
      <c r="AH22" s="187"/>
      <c r="AI22" s="187"/>
      <c r="AJ22" s="187"/>
      <c r="AK22" s="97">
        <f t="shared" si="0"/>
        <v>0.06</v>
      </c>
      <c r="AL22" s="97"/>
      <c r="AM22" s="97"/>
      <c r="AO22" s="1" t="s">
        <v>113</v>
      </c>
      <c r="AU22">
        <v>1.67</v>
      </c>
      <c r="AV22">
        <v>2</v>
      </c>
      <c r="AW22">
        <v>4</v>
      </c>
    </row>
    <row r="23" spans="1:49" ht="33" customHeight="1" x14ac:dyDescent="0.55000000000000004">
      <c r="A23" s="9">
        <v>6</v>
      </c>
      <c r="B23" s="9"/>
      <c r="C23" s="185" t="s">
        <v>58</v>
      </c>
      <c r="D23" s="185"/>
      <c r="E23" s="185"/>
      <c r="F23" s="185"/>
      <c r="G23" s="185"/>
      <c r="H23" s="185"/>
      <c r="I23" s="185"/>
      <c r="J23" s="185"/>
      <c r="K23" s="185"/>
      <c r="L23" s="188" t="s">
        <v>129</v>
      </c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88"/>
      <c r="AD23" s="188"/>
      <c r="AE23" s="143">
        <v>1</v>
      </c>
      <c r="AF23" s="143"/>
      <c r="AG23" s="187">
        <v>0.08</v>
      </c>
      <c r="AH23" s="187"/>
      <c r="AI23" s="187"/>
      <c r="AJ23" s="187"/>
      <c r="AK23" s="97">
        <f t="shared" si="0"/>
        <v>0.08</v>
      </c>
      <c r="AL23" s="97"/>
      <c r="AM23" s="97"/>
      <c r="AO23" s="1" t="s">
        <v>114</v>
      </c>
      <c r="AU23">
        <v>2.33</v>
      </c>
      <c r="AV23">
        <v>3</v>
      </c>
      <c r="AW23">
        <v>6</v>
      </c>
    </row>
    <row r="24" spans="1:49" ht="17.399999999999999" x14ac:dyDescent="0.55000000000000004">
      <c r="A24" s="178" t="s">
        <v>15</v>
      </c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179"/>
      <c r="Z24" s="179"/>
      <c r="AA24" s="179"/>
      <c r="AB24" s="179"/>
      <c r="AC24" s="179"/>
      <c r="AD24" s="179"/>
      <c r="AE24" s="179"/>
      <c r="AF24" s="179"/>
      <c r="AG24" s="179"/>
      <c r="AH24" s="179"/>
      <c r="AI24" s="179"/>
      <c r="AJ24" s="179"/>
      <c r="AK24" s="180">
        <f>SUM(AK18:AK23)</f>
        <v>2.62</v>
      </c>
      <c r="AL24" s="180"/>
      <c r="AM24" s="180"/>
      <c r="AO24" s="1" t="s">
        <v>115</v>
      </c>
      <c r="AU24" s="13">
        <v>3</v>
      </c>
    </row>
    <row r="25" spans="1:49" ht="15.3" x14ac:dyDescent="0.5500000000000000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B25" s="1"/>
      <c r="AC25" s="1"/>
      <c r="AD25" s="1"/>
      <c r="AO25" s="1" t="s">
        <v>116</v>
      </c>
    </row>
    <row r="26" spans="1:49" ht="15.3" x14ac:dyDescent="0.55000000000000004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B26" s="1"/>
      <c r="AC26" s="1"/>
      <c r="AD26" s="1"/>
      <c r="AO26" s="1" t="s">
        <v>117</v>
      </c>
    </row>
    <row r="27" spans="1:49" ht="19.8" x14ac:dyDescent="0.65">
      <c r="A27" s="181" t="s">
        <v>14</v>
      </c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  <c r="AJ27" s="181"/>
      <c r="AK27" s="181"/>
      <c r="AL27" s="181"/>
      <c r="AM27" s="181"/>
      <c r="AO27" s="1" t="s">
        <v>118</v>
      </c>
    </row>
    <row r="28" spans="1:49" ht="17.7" x14ac:dyDescent="0.55000000000000004">
      <c r="AE28" s="31"/>
      <c r="AO28" s="1" t="s">
        <v>119</v>
      </c>
    </row>
    <row r="29" spans="1:49" ht="15.75" customHeight="1" x14ac:dyDescent="0.75">
      <c r="A29" s="42" t="s">
        <v>138</v>
      </c>
      <c r="B29" s="42"/>
      <c r="C29" s="42" t="s">
        <v>139</v>
      </c>
      <c r="D29" s="182" t="s">
        <v>141</v>
      </c>
      <c r="E29" s="182"/>
      <c r="F29" s="183">
        <f>X14</f>
        <v>2</v>
      </c>
      <c r="G29" s="183"/>
      <c r="H29" s="184" t="s">
        <v>142</v>
      </c>
      <c r="I29" s="184"/>
      <c r="J29" s="182" t="s">
        <v>140</v>
      </c>
      <c r="K29" s="182"/>
      <c r="L29" s="150">
        <f>AK24</f>
        <v>2.62</v>
      </c>
      <c r="M29" s="150"/>
      <c r="N29" s="150"/>
      <c r="O29" s="42" t="s">
        <v>139</v>
      </c>
      <c r="P29" s="111">
        <f>F29*L29</f>
        <v>5.24</v>
      </c>
      <c r="Q29" s="111"/>
      <c r="R29" s="111"/>
      <c r="AE29" s="37"/>
      <c r="AO29" s="1" t="s">
        <v>120</v>
      </c>
    </row>
    <row r="30" spans="1:49" ht="15.75" customHeight="1" x14ac:dyDescent="0.55000000000000004">
      <c r="A30" s="3"/>
      <c r="B30" s="3"/>
      <c r="C30" s="3"/>
      <c r="D30" s="3"/>
      <c r="E30" s="3"/>
      <c r="F30" s="3"/>
      <c r="G30" s="3"/>
      <c r="H30" s="40"/>
      <c r="I30" s="40"/>
      <c r="J30" s="41"/>
      <c r="AE30" s="37"/>
      <c r="AO30" s="1" t="s">
        <v>121</v>
      </c>
    </row>
    <row r="31" spans="1:49" ht="17.7" x14ac:dyDescent="0.55000000000000004">
      <c r="AE31" s="37"/>
      <c r="AO31" s="1" t="s">
        <v>122</v>
      </c>
    </row>
    <row r="32" spans="1:49" ht="20.399999999999999" x14ac:dyDescent="0.75">
      <c r="A32" s="3" t="s">
        <v>13</v>
      </c>
      <c r="B32" s="3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O32" s="1" t="s">
        <v>123</v>
      </c>
    </row>
    <row r="33" spans="1:59" ht="15.3" x14ac:dyDescent="0.5500000000000000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AO33" s="1" t="s">
        <v>124</v>
      </c>
    </row>
    <row r="34" spans="1:59" ht="17.399999999999999" x14ac:dyDescent="0.55000000000000004">
      <c r="A34" s="174" t="s">
        <v>23</v>
      </c>
      <c r="B34" s="174"/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  <c r="AA34" s="174"/>
      <c r="AB34" s="22"/>
      <c r="AC34" s="22"/>
      <c r="AO34" s="1" t="s">
        <v>125</v>
      </c>
    </row>
    <row r="35" spans="1:59" ht="17.399999999999999" x14ac:dyDescent="0.55000000000000004">
      <c r="A35" s="174" t="s">
        <v>22</v>
      </c>
      <c r="B35" s="174"/>
      <c r="C35" s="174"/>
      <c r="D35" s="174"/>
      <c r="E35" s="174"/>
      <c r="F35" s="174"/>
      <c r="G35" s="174"/>
      <c r="H35" s="175" t="s">
        <v>18</v>
      </c>
      <c r="I35" s="175"/>
      <c r="J35" s="175"/>
      <c r="K35" s="175"/>
      <c r="L35" s="175"/>
      <c r="M35" s="175"/>
      <c r="N35" s="175"/>
      <c r="O35" s="175"/>
      <c r="P35" s="174" t="s">
        <v>24</v>
      </c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38"/>
      <c r="AC35" s="38"/>
      <c r="AO35" s="1" t="s">
        <v>126</v>
      </c>
    </row>
    <row r="36" spans="1:59" ht="17.399999999999999" x14ac:dyDescent="0.55000000000000004">
      <c r="A36" s="169" t="s">
        <v>147</v>
      </c>
      <c r="B36" s="169"/>
      <c r="C36" s="169"/>
      <c r="D36" s="169"/>
      <c r="E36" s="169"/>
      <c r="F36" s="169"/>
      <c r="G36" s="169"/>
      <c r="H36" s="176" t="s">
        <v>61</v>
      </c>
      <c r="I36" s="176"/>
      <c r="J36" s="176"/>
      <c r="K36" s="176"/>
      <c r="L36" s="176"/>
      <c r="M36" s="176"/>
      <c r="N36" s="176"/>
      <c r="O36" s="176"/>
      <c r="P36" s="177" t="s">
        <v>26</v>
      </c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177"/>
      <c r="AB36" s="3"/>
      <c r="AC36" s="3"/>
      <c r="AO36" s="1" t="s">
        <v>127</v>
      </c>
    </row>
    <row r="37" spans="1:59" ht="17.399999999999999" x14ac:dyDescent="0.55000000000000004">
      <c r="A37" s="169" t="s">
        <v>149</v>
      </c>
      <c r="B37" s="169"/>
      <c r="C37" s="169"/>
      <c r="D37" s="169"/>
      <c r="E37" s="169"/>
      <c r="F37" s="169"/>
      <c r="G37" s="169"/>
      <c r="H37" s="170" t="s">
        <v>60</v>
      </c>
      <c r="I37" s="170"/>
      <c r="J37" s="170"/>
      <c r="K37" s="170"/>
      <c r="L37" s="170"/>
      <c r="M37" s="170"/>
      <c r="N37" s="170"/>
      <c r="O37" s="170"/>
      <c r="P37" s="171" t="s">
        <v>28</v>
      </c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1"/>
      <c r="AB37" s="3"/>
      <c r="AC37" s="3"/>
      <c r="AD37" s="1"/>
      <c r="AO37" s="1" t="s">
        <v>128</v>
      </c>
    </row>
    <row r="38" spans="1:59" ht="17.399999999999999" x14ac:dyDescent="0.55000000000000004">
      <c r="A38" s="169" t="s">
        <v>148</v>
      </c>
      <c r="B38" s="169"/>
      <c r="C38" s="169"/>
      <c r="D38" s="169"/>
      <c r="E38" s="169"/>
      <c r="F38" s="169"/>
      <c r="G38" s="169"/>
      <c r="H38" s="172" t="s">
        <v>59</v>
      </c>
      <c r="I38" s="172"/>
      <c r="J38" s="172"/>
      <c r="K38" s="172"/>
      <c r="L38" s="172"/>
      <c r="M38" s="172"/>
      <c r="N38" s="172"/>
      <c r="O38" s="172"/>
      <c r="P38" s="173" t="s">
        <v>29</v>
      </c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3"/>
      <c r="AC38" s="3"/>
      <c r="AD38" s="3"/>
      <c r="AE38" s="3"/>
      <c r="AO38" s="1" t="s">
        <v>129</v>
      </c>
    </row>
    <row r="39" spans="1:59" ht="17.399999999999999" x14ac:dyDescent="0.55000000000000004">
      <c r="AD39" s="38"/>
      <c r="AE39" s="38"/>
      <c r="AF39" s="38"/>
    </row>
    <row r="40" spans="1:59" ht="19.8" x14ac:dyDescent="0.65">
      <c r="A40" s="163" t="s">
        <v>22</v>
      </c>
      <c r="B40" s="164"/>
      <c r="C40" s="164"/>
      <c r="D40" s="164"/>
      <c r="E40" s="164"/>
      <c r="F40" s="164"/>
      <c r="G40" s="165"/>
      <c r="H40" s="151">
        <f>P29</f>
        <v>5.24</v>
      </c>
      <c r="I40" s="152"/>
      <c r="J40" s="152"/>
      <c r="K40" s="153" t="s">
        <v>20</v>
      </c>
      <c r="L40" s="154"/>
      <c r="M40" s="154"/>
      <c r="N40" s="154"/>
      <c r="O40" s="154"/>
      <c r="P40" s="154"/>
      <c r="Q40" s="154"/>
      <c r="R40" s="154"/>
      <c r="S40" s="155"/>
      <c r="AD40" s="3"/>
      <c r="AE40" s="3"/>
      <c r="AF40" s="3"/>
    </row>
    <row r="41" spans="1:59" ht="19.8" x14ac:dyDescent="0.65">
      <c r="A41" s="166" t="s">
        <v>70</v>
      </c>
      <c r="B41" s="166"/>
      <c r="C41" s="166"/>
      <c r="D41" s="166"/>
      <c r="E41" s="166"/>
      <c r="F41" s="166"/>
      <c r="G41" s="166"/>
      <c r="H41" s="166"/>
      <c r="I41" s="166"/>
      <c r="J41" s="166"/>
      <c r="K41" s="166"/>
      <c r="L41" s="166"/>
      <c r="M41" s="166"/>
      <c r="N41" s="167" t="s">
        <v>29</v>
      </c>
      <c r="O41" s="167"/>
      <c r="P41" s="167"/>
      <c r="Q41" s="167"/>
      <c r="R41" s="167"/>
      <c r="S41" s="167"/>
      <c r="AD41" s="3"/>
      <c r="AE41" s="3"/>
      <c r="AF41" s="3"/>
    </row>
    <row r="42" spans="1:59" ht="17.7" x14ac:dyDescent="0.6">
      <c r="AD42" s="3"/>
      <c r="AE42" s="3"/>
      <c r="AF42" s="3"/>
      <c r="AO42" s="2" t="s">
        <v>62</v>
      </c>
      <c r="AP42" s="2"/>
      <c r="AQ42" s="2"/>
      <c r="AT42" s="2" t="s">
        <v>62</v>
      </c>
      <c r="AU42" s="2"/>
      <c r="AV42" s="2"/>
    </row>
    <row r="43" spans="1:59" ht="15.3" x14ac:dyDescent="0.55000000000000004"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B43" s="1"/>
      <c r="AC43" s="1"/>
      <c r="AD43" s="1"/>
      <c r="AM43" s="1"/>
      <c r="AO43" s="168" t="s">
        <v>73</v>
      </c>
      <c r="AP43" s="168"/>
      <c r="AQ43" s="168"/>
      <c r="AR43" s="1"/>
      <c r="AS43" s="1"/>
      <c r="AT43" s="168" t="s">
        <v>74</v>
      </c>
      <c r="AU43" s="168"/>
      <c r="AV43" s="168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</row>
    <row r="44" spans="1:59" ht="15.3" x14ac:dyDescent="0.55000000000000004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B44" s="1"/>
      <c r="AC44" s="1"/>
      <c r="AD44" s="1"/>
      <c r="AM44" s="1"/>
      <c r="AO44" s="159" t="s">
        <v>63</v>
      </c>
      <c r="AP44" s="161" t="s">
        <v>64</v>
      </c>
      <c r="AQ44" s="161"/>
      <c r="AR44" s="1"/>
      <c r="AS44" s="1"/>
      <c r="AT44" s="159" t="s">
        <v>63</v>
      </c>
      <c r="AU44" s="161" t="s">
        <v>64</v>
      </c>
      <c r="AV44" s="161"/>
      <c r="AW44" s="1"/>
      <c r="AX44" s="1" t="s">
        <v>26</v>
      </c>
      <c r="AY44" s="1">
        <v>1</v>
      </c>
      <c r="AZ44" s="1"/>
      <c r="BA44" s="1"/>
      <c r="BB44" s="1"/>
      <c r="BC44" s="1"/>
      <c r="BD44" s="1"/>
      <c r="BE44" s="1"/>
      <c r="BF44" s="1"/>
      <c r="BG44" s="1"/>
    </row>
    <row r="45" spans="1:59" ht="17.7" x14ac:dyDescent="0.55000000000000004"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C45" s="41"/>
      <c r="AD45" s="1"/>
      <c r="AM45" s="1"/>
      <c r="AO45" s="160"/>
      <c r="AP45" s="5" t="s">
        <v>65</v>
      </c>
      <c r="AQ45" s="5" t="s">
        <v>66</v>
      </c>
      <c r="AR45" s="1"/>
      <c r="AS45" s="1"/>
      <c r="AT45" s="160"/>
      <c r="AU45" s="5" t="s">
        <v>65</v>
      </c>
      <c r="AV45" s="5" t="s">
        <v>66</v>
      </c>
      <c r="AW45" s="1"/>
      <c r="AX45" t="s">
        <v>28</v>
      </c>
      <c r="AY45" s="1">
        <v>2</v>
      </c>
      <c r="AZ45" s="1"/>
      <c r="BA45" s="1"/>
      <c r="BB45" s="1"/>
      <c r="BC45" s="1"/>
      <c r="BD45" s="1"/>
      <c r="BE45" s="1"/>
      <c r="BF45" s="1"/>
      <c r="BG45" s="1"/>
    </row>
    <row r="46" spans="1:59" ht="17.399999999999999" x14ac:dyDescent="0.55000000000000004">
      <c r="A46" s="162"/>
      <c r="B46" s="162"/>
      <c r="C46" s="162"/>
      <c r="D46" s="162"/>
      <c r="E46" s="162"/>
      <c r="F46" s="162"/>
      <c r="G46" s="162"/>
      <c r="H46" s="3"/>
      <c r="I46" s="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B46" s="1"/>
      <c r="AC46" s="1"/>
      <c r="AD46" s="1"/>
      <c r="AM46" s="1"/>
      <c r="AO46" s="7">
        <v>0.16</v>
      </c>
      <c r="AP46" s="18">
        <f>AO46*1</f>
        <v>0.16</v>
      </c>
      <c r="AQ46" s="5">
        <f>AO46*3</f>
        <v>0.48</v>
      </c>
      <c r="AR46" s="1"/>
      <c r="AS46" s="1"/>
      <c r="AT46" s="7">
        <v>0.16</v>
      </c>
      <c r="AU46" s="18">
        <f>AT46*2</f>
        <v>0.32</v>
      </c>
      <c r="AV46" s="5">
        <f>AT46*6</f>
        <v>0.96</v>
      </c>
      <c r="AW46" s="1"/>
      <c r="AX46" s="1" t="s">
        <v>29</v>
      </c>
      <c r="AY46" s="1">
        <v>3</v>
      </c>
      <c r="AZ46" s="1"/>
      <c r="BA46" s="1"/>
      <c r="BB46" s="1"/>
      <c r="BC46" s="1"/>
      <c r="BD46" s="1"/>
      <c r="BE46" s="1"/>
      <c r="BF46" s="1"/>
      <c r="BG46" s="1"/>
    </row>
    <row r="47" spans="1:59" ht="17.399999999999999" x14ac:dyDescent="0.55000000000000004">
      <c r="A47" s="147"/>
      <c r="B47" s="147"/>
      <c r="C47" s="147"/>
      <c r="D47" s="147"/>
      <c r="E47" s="147"/>
      <c r="F47" s="147"/>
      <c r="G47" s="147"/>
      <c r="H47" s="22"/>
      <c r="I47" s="3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B47" s="1"/>
      <c r="AC47" s="1"/>
      <c r="AD47" s="1"/>
      <c r="AM47" s="1"/>
      <c r="AO47" s="7">
        <v>0.09</v>
      </c>
      <c r="AP47" s="18">
        <f t="shared" ref="AP47:AP51" si="1">AO47*1</f>
        <v>0.09</v>
      </c>
      <c r="AQ47" s="5">
        <f t="shared" ref="AQ47:AQ51" si="2">AO47*3</f>
        <v>0.27</v>
      </c>
      <c r="AR47" s="1"/>
      <c r="AS47" s="1"/>
      <c r="AT47" s="7">
        <v>0.09</v>
      </c>
      <c r="AU47" s="18">
        <f t="shared" ref="AU47:AU51" si="3">AT47*2</f>
        <v>0.18</v>
      </c>
      <c r="AV47" s="5">
        <f t="shared" ref="AV47:AV51" si="4">AT47*6</f>
        <v>0.54</v>
      </c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</row>
    <row r="48" spans="1:59" ht="17.399999999999999" x14ac:dyDescent="0.55000000000000004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1"/>
      <c r="AB48" s="1"/>
      <c r="AC48" s="1"/>
      <c r="AD48" s="1"/>
      <c r="AM48" s="1"/>
      <c r="AO48" s="7">
        <v>0.56000000000000005</v>
      </c>
      <c r="AP48" s="18">
        <f t="shared" si="1"/>
        <v>0.56000000000000005</v>
      </c>
      <c r="AQ48" s="5">
        <f t="shared" si="2"/>
        <v>1.6800000000000002</v>
      </c>
      <c r="AR48" s="1"/>
      <c r="AS48" s="1"/>
      <c r="AT48" s="7">
        <v>0.56000000000000005</v>
      </c>
      <c r="AU48" s="18">
        <f t="shared" si="3"/>
        <v>1.1200000000000001</v>
      </c>
      <c r="AV48" s="5">
        <f t="shared" si="4"/>
        <v>3.3600000000000003</v>
      </c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</row>
    <row r="49" spans="1:59" ht="15.3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M49" s="1"/>
      <c r="AO49" s="7">
        <v>0.05</v>
      </c>
      <c r="AP49" s="18">
        <f t="shared" si="1"/>
        <v>0.05</v>
      </c>
      <c r="AQ49" s="5">
        <f t="shared" si="2"/>
        <v>0.15000000000000002</v>
      </c>
      <c r="AR49" s="1"/>
      <c r="AS49" s="1"/>
      <c r="AT49" s="7">
        <v>0.05</v>
      </c>
      <c r="AU49" s="18">
        <f t="shared" si="3"/>
        <v>0.1</v>
      </c>
      <c r="AV49" s="5">
        <f t="shared" si="4"/>
        <v>0.30000000000000004</v>
      </c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</row>
    <row r="50" spans="1:59" ht="17.7" x14ac:dyDescent="0.55000000000000004">
      <c r="AF50" s="31"/>
      <c r="AM50" s="1"/>
      <c r="AO50" s="7">
        <v>0.06</v>
      </c>
      <c r="AP50" s="18">
        <f t="shared" si="1"/>
        <v>0.06</v>
      </c>
      <c r="AQ50" s="5">
        <f t="shared" si="2"/>
        <v>0.18</v>
      </c>
      <c r="AR50" s="1"/>
      <c r="AS50" s="1"/>
      <c r="AT50" s="7">
        <v>0.06</v>
      </c>
      <c r="AU50" s="18">
        <f t="shared" si="3"/>
        <v>0.12</v>
      </c>
      <c r="AV50" s="5">
        <f t="shared" si="4"/>
        <v>0.36</v>
      </c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</row>
    <row r="51" spans="1:59" ht="17.399999999999999" x14ac:dyDescent="0.55000000000000004"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1"/>
      <c r="AO51" s="7">
        <v>0.08</v>
      </c>
      <c r="AP51" s="18">
        <f t="shared" si="1"/>
        <v>0.08</v>
      </c>
      <c r="AQ51" s="5">
        <f t="shared" si="2"/>
        <v>0.24</v>
      </c>
      <c r="AR51" s="1"/>
      <c r="AS51" s="1"/>
      <c r="AT51" s="7">
        <v>0.08</v>
      </c>
      <c r="AU51" s="18">
        <f t="shared" si="3"/>
        <v>0.16</v>
      </c>
      <c r="AV51" s="5">
        <f t="shared" si="4"/>
        <v>0.48</v>
      </c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</row>
    <row r="52" spans="1:59" ht="17.7" x14ac:dyDescent="0.6">
      <c r="AF52" s="36"/>
      <c r="AM52" s="1"/>
      <c r="AO52" s="32">
        <v>1</v>
      </c>
      <c r="AP52" s="30">
        <f>SUM(AP46:AP51)</f>
        <v>1.0000000000000002</v>
      </c>
      <c r="AQ52" s="30">
        <f>SUM(AQ46:AQ51)</f>
        <v>3</v>
      </c>
      <c r="AR52" s="1"/>
      <c r="AS52" s="1"/>
      <c r="AT52" s="12" t="s">
        <v>55</v>
      </c>
      <c r="AU52" s="5">
        <f>SUM(AU46:AU51)</f>
        <v>2.0000000000000004</v>
      </c>
      <c r="AV52" s="5">
        <f>SUM(AV46:AV51)</f>
        <v>6</v>
      </c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</row>
    <row r="53" spans="1:59" ht="17.399999999999999" x14ac:dyDescent="0.55000000000000004">
      <c r="AF53" s="36"/>
      <c r="AM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</row>
    <row r="54" spans="1:59" ht="15.3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56"/>
      <c r="AC54" s="156"/>
      <c r="AD54" s="1"/>
      <c r="AM54" s="1"/>
      <c r="AO54" s="1" t="s">
        <v>55</v>
      </c>
      <c r="AP54" s="10">
        <v>1</v>
      </c>
      <c r="AQ54" s="10">
        <v>9</v>
      </c>
      <c r="AR54" s="1"/>
      <c r="AS54" s="1"/>
      <c r="AT54" s="1" t="s">
        <v>67</v>
      </c>
      <c r="AU54" s="1">
        <f>AV52-AU52</f>
        <v>3.9999999999999996</v>
      </c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</row>
    <row r="55" spans="1:59" ht="17.7" x14ac:dyDescent="0.55000000000000004">
      <c r="A55" s="157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1"/>
      <c r="AB55" s="158"/>
      <c r="AC55" s="158"/>
      <c r="AD55" s="158"/>
      <c r="AE55" s="158"/>
      <c r="AF55" s="158"/>
      <c r="AG55" s="31"/>
      <c r="AH55" s="31"/>
      <c r="AI55" s="31"/>
      <c r="AJ55" s="31"/>
      <c r="AK55" s="31"/>
      <c r="AL55" s="31"/>
      <c r="AM55" s="1"/>
      <c r="AO55" s="1" t="s">
        <v>67</v>
      </c>
      <c r="AP55" s="1">
        <v>8</v>
      </c>
      <c r="AQ55" s="1"/>
      <c r="AR55" s="1"/>
      <c r="AS55" s="1"/>
      <c r="AT55" s="1" t="s">
        <v>68</v>
      </c>
      <c r="AU55" s="1">
        <v>3</v>
      </c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</row>
    <row r="56" spans="1:59" ht="17.7" x14ac:dyDescent="0.6">
      <c r="A56" s="146"/>
      <c r="B56" s="146"/>
      <c r="C56" s="146"/>
      <c r="D56" s="146"/>
      <c r="E56" s="146"/>
      <c r="F56" s="146"/>
      <c r="G56" s="146"/>
      <c r="H56" s="147"/>
      <c r="I56" s="147"/>
      <c r="J56" s="147"/>
      <c r="K56" s="147"/>
      <c r="L56" s="147"/>
      <c r="M56" s="147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1"/>
      <c r="AB56" s="148"/>
      <c r="AC56" s="148"/>
      <c r="AD56" s="148"/>
      <c r="AE56" s="148"/>
      <c r="AF56" s="148"/>
      <c r="AG56" s="149"/>
      <c r="AH56" s="149"/>
      <c r="AI56" s="35"/>
      <c r="AJ56" s="35"/>
      <c r="AK56" s="35"/>
      <c r="AL56" s="35"/>
      <c r="AM56" s="1"/>
      <c r="AO56" s="1" t="s">
        <v>68</v>
      </c>
      <c r="AP56" s="1">
        <v>3</v>
      </c>
      <c r="AQ56" s="1"/>
      <c r="AR56" s="1"/>
      <c r="AS56" s="1"/>
      <c r="AT56" s="1" t="s">
        <v>69</v>
      </c>
      <c r="AU56" s="19">
        <f>AU54/AU55</f>
        <v>1.3333333333333333</v>
      </c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</row>
    <row r="57" spans="1:59" ht="17.7" x14ac:dyDescent="0.6">
      <c r="A57" s="146"/>
      <c r="B57" s="146"/>
      <c r="C57" s="146"/>
      <c r="D57" s="146"/>
      <c r="E57" s="146"/>
      <c r="F57" s="146"/>
      <c r="G57" s="146"/>
      <c r="H57" s="147"/>
      <c r="I57" s="147"/>
      <c r="J57" s="147"/>
      <c r="K57" s="147"/>
      <c r="L57" s="147"/>
      <c r="M57" s="147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1"/>
      <c r="AB57" s="148"/>
      <c r="AC57" s="148"/>
      <c r="AD57" s="148"/>
      <c r="AE57" s="148"/>
      <c r="AF57" s="148"/>
      <c r="AG57" s="149"/>
      <c r="AH57" s="149"/>
      <c r="AI57" s="35"/>
      <c r="AJ57" s="35"/>
      <c r="AK57" s="35"/>
      <c r="AL57" s="35"/>
      <c r="AM57" s="1"/>
      <c r="AO57" s="1" t="s">
        <v>69</v>
      </c>
      <c r="AP57" s="19">
        <f>AP55/AP56</f>
        <v>2.6666666666666665</v>
      </c>
      <c r="AQ57" s="1"/>
      <c r="AR57" s="1"/>
      <c r="AS57" s="1"/>
      <c r="AT57" s="145" t="s">
        <v>70</v>
      </c>
      <c r="AU57" s="145"/>
      <c r="AV57" s="145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</row>
    <row r="58" spans="1:59" ht="17.7" x14ac:dyDescent="0.6">
      <c r="A58" s="146"/>
      <c r="B58" s="146"/>
      <c r="C58" s="146"/>
      <c r="D58" s="146"/>
      <c r="E58" s="146"/>
      <c r="F58" s="146"/>
      <c r="G58" s="146"/>
      <c r="H58" s="147"/>
      <c r="I58" s="147"/>
      <c r="J58" s="147"/>
      <c r="K58" s="147"/>
      <c r="L58" s="147"/>
      <c r="M58" s="147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1"/>
      <c r="AB58" s="148"/>
      <c r="AC58" s="148"/>
      <c r="AD58" s="148"/>
      <c r="AE58" s="148"/>
      <c r="AF58" s="148"/>
      <c r="AG58" s="149"/>
      <c r="AH58" s="149"/>
      <c r="AI58" s="35"/>
      <c r="AJ58" s="35"/>
      <c r="AK58" s="35"/>
      <c r="AL58" s="35"/>
      <c r="AM58" s="1"/>
      <c r="AO58" s="29" t="s">
        <v>70</v>
      </c>
      <c r="AP58" s="29"/>
      <c r="AQ58" s="29"/>
      <c r="AR58" s="1"/>
      <c r="AS58" s="1"/>
      <c r="AT58" s="1"/>
      <c r="AU58" s="1">
        <v>2</v>
      </c>
      <c r="AV58" s="19">
        <f>AU58+AU56</f>
        <v>3.333333333333333</v>
      </c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</row>
    <row r="59" spans="1:59" ht="15.3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M59" s="1"/>
      <c r="AO59" s="1"/>
      <c r="AP59" s="1">
        <v>1</v>
      </c>
      <c r="AQ59" s="19">
        <f>AP59+AP57</f>
        <v>3.6666666666666665</v>
      </c>
      <c r="AR59" s="1"/>
      <c r="AS59" s="1"/>
      <c r="AT59" s="1"/>
      <c r="AU59" s="1">
        <v>3.4</v>
      </c>
      <c r="AV59" s="19">
        <f>AU59+AU56</f>
        <v>4.7333333333333334</v>
      </c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</row>
    <row r="60" spans="1:59" ht="15.3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M60" s="1"/>
      <c r="AO60" s="1"/>
      <c r="AP60" s="33" t="s">
        <v>130</v>
      </c>
      <c r="AQ60" s="19">
        <v>6.4</v>
      </c>
      <c r="AR60" s="1"/>
      <c r="AS60" s="1"/>
      <c r="AT60" s="1"/>
      <c r="AU60" s="1">
        <v>4.8</v>
      </c>
      <c r="AV60" s="1">
        <v>6</v>
      </c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</row>
    <row r="61" spans="1:59" ht="15.3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M61" s="1"/>
      <c r="AO61" s="1"/>
      <c r="AP61" s="33" t="s">
        <v>131</v>
      </c>
      <c r="AQ61" s="1">
        <v>3</v>
      </c>
    </row>
    <row r="62" spans="1:59" ht="15.3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M62" s="1"/>
    </row>
    <row r="63" spans="1:59" ht="15.3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M63" s="1"/>
    </row>
    <row r="64" spans="1:59" ht="15.3" x14ac:dyDescent="0.5500000000000000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M64" s="1"/>
    </row>
    <row r="65" spans="1:30" ht="15.3" x14ac:dyDescent="0.5500000000000000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5.3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5.3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5.3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5.3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5.3" x14ac:dyDescent="0.5500000000000000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5.3" x14ac:dyDescent="0.5500000000000000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5.3" x14ac:dyDescent="0.5500000000000000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5.3" x14ac:dyDescent="0.5500000000000000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5.3" x14ac:dyDescent="0.5500000000000000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5.3" x14ac:dyDescent="0.5500000000000000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5.3" x14ac:dyDescent="0.5500000000000000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5.3" x14ac:dyDescent="0.5500000000000000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5.3" x14ac:dyDescent="0.5500000000000000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5.3" x14ac:dyDescent="0.5500000000000000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5.3" x14ac:dyDescent="0.5500000000000000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5.3" x14ac:dyDescent="0.5500000000000000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5.3" x14ac:dyDescent="0.5500000000000000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5.3" x14ac:dyDescent="0.5500000000000000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5.3" x14ac:dyDescent="0.5500000000000000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5.3" x14ac:dyDescent="0.5500000000000000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5.3" x14ac:dyDescent="0.5500000000000000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5.3" x14ac:dyDescent="0.5500000000000000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5.3" x14ac:dyDescent="0.5500000000000000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5.3" x14ac:dyDescent="0.5500000000000000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5.3" x14ac:dyDescent="0.5500000000000000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5.3" x14ac:dyDescent="0.5500000000000000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5.3" x14ac:dyDescent="0.5500000000000000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5.3" x14ac:dyDescent="0.5500000000000000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5.3" x14ac:dyDescent="0.5500000000000000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5.3" x14ac:dyDescent="0.5500000000000000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5.3" x14ac:dyDescent="0.5500000000000000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5.3" x14ac:dyDescent="0.5500000000000000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5.3" x14ac:dyDescent="0.5500000000000000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5.3" x14ac:dyDescent="0.5500000000000000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5.3" x14ac:dyDescent="0.5500000000000000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5.3" x14ac:dyDescent="0.5500000000000000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5.3" x14ac:dyDescent="0.5500000000000000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5.3" x14ac:dyDescent="0.5500000000000000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5.3" x14ac:dyDescent="0.550000000000000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5.3" x14ac:dyDescent="0.5500000000000000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5.3" x14ac:dyDescent="0.5500000000000000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5.3" x14ac:dyDescent="0.5500000000000000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5.3" x14ac:dyDescent="0.5500000000000000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5.3" x14ac:dyDescent="0.5500000000000000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5.3" x14ac:dyDescent="0.5500000000000000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5.3" x14ac:dyDescent="0.5500000000000000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5.3" x14ac:dyDescent="0.5500000000000000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5.3" x14ac:dyDescent="0.5500000000000000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5.3" x14ac:dyDescent="0.5500000000000000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</sheetData>
  <mergeCells count="104">
    <mergeCell ref="A1:AM1"/>
    <mergeCell ref="A3:C3"/>
    <mergeCell ref="D3:I3"/>
    <mergeCell ref="A4:M4"/>
    <mergeCell ref="N4:AM4"/>
    <mergeCell ref="A6:AM7"/>
    <mergeCell ref="A14:T14"/>
    <mergeCell ref="U14:W14"/>
    <mergeCell ref="X14:Y14"/>
    <mergeCell ref="A16:AM16"/>
    <mergeCell ref="C17:K17"/>
    <mergeCell ref="L17:AF17"/>
    <mergeCell ref="AG17:AJ17"/>
    <mergeCell ref="I9:M9"/>
    <mergeCell ref="A10:H10"/>
    <mergeCell ref="I10:M10"/>
    <mergeCell ref="A11:H11"/>
    <mergeCell ref="I11:M11"/>
    <mergeCell ref="A12:H12"/>
    <mergeCell ref="I12:M12"/>
    <mergeCell ref="C18:K18"/>
    <mergeCell ref="L18:AD18"/>
    <mergeCell ref="AE18:AF18"/>
    <mergeCell ref="AG18:AJ18"/>
    <mergeCell ref="AK18:AM18"/>
    <mergeCell ref="C19:K19"/>
    <mergeCell ref="L19:AD19"/>
    <mergeCell ref="AE19:AF19"/>
    <mergeCell ref="AG19:AJ19"/>
    <mergeCell ref="AK19:AM19"/>
    <mergeCell ref="C20:K20"/>
    <mergeCell ref="L20:AD20"/>
    <mergeCell ref="AE20:AF20"/>
    <mergeCell ref="AG20:AJ20"/>
    <mergeCell ref="AK20:AM20"/>
    <mergeCell ref="C21:K21"/>
    <mergeCell ref="L21:AD21"/>
    <mergeCell ref="AE21:AF21"/>
    <mergeCell ref="AG21:AJ21"/>
    <mergeCell ref="AK21:AM21"/>
    <mergeCell ref="A24:AJ24"/>
    <mergeCell ref="AK24:AM24"/>
    <mergeCell ref="A27:AM27"/>
    <mergeCell ref="D29:E29"/>
    <mergeCell ref="F29:G29"/>
    <mergeCell ref="H29:I29"/>
    <mergeCell ref="J29:K29"/>
    <mergeCell ref="C22:K22"/>
    <mergeCell ref="L22:AD22"/>
    <mergeCell ref="AE22:AF22"/>
    <mergeCell ref="AG22:AJ22"/>
    <mergeCell ref="AK22:AM22"/>
    <mergeCell ref="C23:K23"/>
    <mergeCell ref="L23:AD23"/>
    <mergeCell ref="AE23:AF23"/>
    <mergeCell ref="AG23:AJ23"/>
    <mergeCell ref="AK23:AM23"/>
    <mergeCell ref="A37:G37"/>
    <mergeCell ref="H37:O37"/>
    <mergeCell ref="P37:AA37"/>
    <mergeCell ref="A38:G38"/>
    <mergeCell ref="H38:O38"/>
    <mergeCell ref="P38:AA38"/>
    <mergeCell ref="A34:AA34"/>
    <mergeCell ref="A35:G35"/>
    <mergeCell ref="H35:O35"/>
    <mergeCell ref="P35:AA35"/>
    <mergeCell ref="A36:G36"/>
    <mergeCell ref="H36:O36"/>
    <mergeCell ref="P36:AA36"/>
    <mergeCell ref="AP44:AQ44"/>
    <mergeCell ref="AT44:AT45"/>
    <mergeCell ref="AU44:AV44"/>
    <mergeCell ref="A46:G46"/>
    <mergeCell ref="A47:G47"/>
    <mergeCell ref="A40:G40"/>
    <mergeCell ref="A41:M41"/>
    <mergeCell ref="N41:S41"/>
    <mergeCell ref="AO43:AQ43"/>
    <mergeCell ref="AT43:AV43"/>
    <mergeCell ref="AT57:AV57"/>
    <mergeCell ref="A58:G58"/>
    <mergeCell ref="H58:M58"/>
    <mergeCell ref="AB58:AF58"/>
    <mergeCell ref="AG58:AH58"/>
    <mergeCell ref="L29:N29"/>
    <mergeCell ref="P29:R29"/>
    <mergeCell ref="H40:J40"/>
    <mergeCell ref="K40:S40"/>
    <mergeCell ref="A56:G56"/>
    <mergeCell ref="H56:M56"/>
    <mergeCell ref="AB56:AF56"/>
    <mergeCell ref="AG56:AH56"/>
    <mergeCell ref="A57:G57"/>
    <mergeCell ref="H57:M57"/>
    <mergeCell ref="AB57:AF57"/>
    <mergeCell ref="AG57:AH57"/>
    <mergeCell ref="A48:I48"/>
    <mergeCell ref="J48:L48"/>
    <mergeCell ref="AB54:AC54"/>
    <mergeCell ref="A55:G55"/>
    <mergeCell ref="H55:M55"/>
    <mergeCell ref="AB55:AF55"/>
    <mergeCell ref="AO44:AO45"/>
  </mergeCells>
  <dataValidations count="12">
    <dataValidation type="list" allowBlank="1" showInputMessage="1" showErrorMessage="1" sqref="U14 K40" xr:uid="{87A3106D-18CE-450D-A165-85EA165C5273}">
      <formula1>$AV$17:$AV$19</formula1>
    </dataValidation>
    <dataValidation type="list" allowBlank="1" showInputMessage="1" showErrorMessage="1" sqref="J30" xr:uid="{9E5115EF-40F2-4D20-A3DB-5FB30A4FCA75}">
      <formula1>$AY$44:$AY$46</formula1>
    </dataValidation>
    <dataValidation type="list" allowBlank="1" showInputMessage="1" showErrorMessage="1" sqref="J48 M48:Z48 N41" xr:uid="{211F58A4-428B-4E23-A325-DD47F1220A4F}">
      <formula1>$AX$44:$AX$46</formula1>
    </dataValidation>
    <dataValidation type="list" allowBlank="1" showInputMessage="1" showErrorMessage="1" sqref="H46 X14:Y14" xr:uid="{1FC2C81C-5C2B-4555-89FA-1CA7CDA74F45}">
      <formula1>$AV$21:$AV$23</formula1>
    </dataValidation>
    <dataValidation type="list" allowBlank="1" showInputMessage="1" showErrorMessage="1" sqref="J47" xr:uid="{C6D13E19-E8E9-4B68-8A53-E418BB0B403B}">
      <formula1>$AW$21:$AW$23</formula1>
    </dataValidation>
    <dataValidation type="list" allowBlank="1" showInputMessage="1" showErrorMessage="1" sqref="AE18:AE23" xr:uid="{26117436-6A25-4926-A942-2640CD5032F9}">
      <formula1>$AU$21:$AU$24</formula1>
    </dataValidation>
    <dataValidation type="list" allowBlank="1" showInputMessage="1" showErrorMessage="1" sqref="L18" xr:uid="{42259B72-F6E0-42C8-9E21-0F5BB3FAE970}">
      <formula1>$AO$15:$AO$18</formula1>
    </dataValidation>
    <dataValidation type="list" allowBlank="1" showInputMessage="1" showErrorMessage="1" sqref="L19" xr:uid="{FF4EE5DA-B470-4CCF-BD01-FD626DAF2146}">
      <formula1>$AO$19:$AO$22</formula1>
    </dataValidation>
    <dataValidation type="list" allowBlank="1" showInputMessage="1" showErrorMessage="1" sqref="L20" xr:uid="{22021D33-D6ED-4BAE-8D6E-25F9516A0CF6}">
      <formula1>$AO$23:$AO$26</formula1>
    </dataValidation>
    <dataValidation type="list" allowBlank="1" showInputMessage="1" showErrorMessage="1" sqref="L21" xr:uid="{31EB7691-4491-4A98-AC4E-9DADB221EA13}">
      <formula1>$AO$27:$AO$30</formula1>
    </dataValidation>
    <dataValidation type="list" allowBlank="1" showInputMessage="1" showErrorMessage="1" sqref="L22" xr:uid="{8E8A3638-D5BE-4B1E-B815-F5B9163A0A60}">
      <formula1>$AO$31:$AO$34</formula1>
    </dataValidation>
    <dataValidation type="list" allowBlank="1" showInputMessage="1" showErrorMessage="1" sqref="L23" xr:uid="{46C21AC7-8787-474D-A85A-733C80A9A3A0}">
      <formula1>$AO$35:$AO$38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CF550-4EDB-4DCA-8E7C-24A2F8C9A183}">
  <dimension ref="A1:BG114"/>
  <sheetViews>
    <sheetView showGridLines="0" topLeftCell="A31" workbookViewId="0">
      <selection activeCell="A4" sqref="A4:M4"/>
    </sheetView>
  </sheetViews>
  <sheetFormatPr baseColWidth="10" defaultColWidth="11.41796875" defaultRowHeight="14.4" x14ac:dyDescent="0.55000000000000004"/>
  <cols>
    <col min="1" max="39" width="2.68359375" customWidth="1"/>
    <col min="40" max="40" width="4.68359375" customWidth="1"/>
    <col min="41" max="57" width="0" hidden="1" customWidth="1"/>
  </cols>
  <sheetData>
    <row r="1" spans="1:41" ht="17.399999999999999" x14ac:dyDescent="0.55000000000000004">
      <c r="A1" s="147" t="s">
        <v>133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</row>
    <row r="2" spans="1:41" ht="17.399999999999999" x14ac:dyDescent="0.55000000000000004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</row>
    <row r="3" spans="1:41" ht="17.399999999999999" x14ac:dyDescent="0.55000000000000004">
      <c r="A3" s="197" t="s">
        <v>135</v>
      </c>
      <c r="B3" s="197"/>
      <c r="C3" s="197"/>
      <c r="D3" s="198"/>
      <c r="E3" s="198"/>
      <c r="F3" s="198"/>
      <c r="G3" s="192"/>
      <c r="H3" s="192"/>
      <c r="I3" s="19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</row>
    <row r="4" spans="1:41" ht="17.399999999999999" x14ac:dyDescent="0.55000000000000004">
      <c r="A4" s="197" t="s">
        <v>153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 t="s">
        <v>150</v>
      </c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7"/>
      <c r="AK4" s="197"/>
      <c r="AL4" s="197"/>
      <c r="AM4" s="197"/>
      <c r="AN4" s="3"/>
    </row>
    <row r="5" spans="1:41" ht="17.399999999999999" x14ac:dyDescent="0.55000000000000004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3"/>
    </row>
    <row r="6" spans="1:41" ht="17.399999999999999" x14ac:dyDescent="0.55000000000000004">
      <c r="A6" s="199" t="s">
        <v>136</v>
      </c>
      <c r="B6" s="199"/>
      <c r="C6" s="199"/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3"/>
    </row>
    <row r="7" spans="1:41" ht="17.399999999999999" x14ac:dyDescent="0.55000000000000004">
      <c r="A7" s="199"/>
      <c r="B7" s="199"/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3"/>
    </row>
    <row r="8" spans="1:41" ht="17.399999999999999" x14ac:dyDescent="0.55000000000000004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3"/>
    </row>
    <row r="9" spans="1:41" ht="17.7" x14ac:dyDescent="0.55000000000000004">
      <c r="A9" s="45" t="s">
        <v>137</v>
      </c>
      <c r="B9" s="45"/>
      <c r="C9" s="45"/>
      <c r="D9" s="45"/>
      <c r="E9" s="45"/>
      <c r="F9" s="45"/>
      <c r="G9" s="45"/>
      <c r="H9" s="45"/>
      <c r="I9" s="175" t="s">
        <v>19</v>
      </c>
      <c r="J9" s="175"/>
      <c r="K9" s="175"/>
      <c r="L9" s="175"/>
      <c r="M9" s="175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C9" s="3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3"/>
    </row>
    <row r="10" spans="1:41" ht="17.7" x14ac:dyDescent="0.55000000000000004">
      <c r="A10" s="193" t="s">
        <v>61</v>
      </c>
      <c r="B10" s="193"/>
      <c r="C10" s="193"/>
      <c r="D10" s="193"/>
      <c r="E10" s="193"/>
      <c r="F10" s="193"/>
      <c r="G10" s="193"/>
      <c r="H10" s="193"/>
      <c r="I10" s="194">
        <v>1</v>
      </c>
      <c r="J10" s="194"/>
      <c r="K10" s="194"/>
      <c r="L10" s="194"/>
      <c r="M10" s="194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C10" s="37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3"/>
    </row>
    <row r="11" spans="1:41" ht="17.7" x14ac:dyDescent="0.55000000000000004">
      <c r="A11" s="195" t="s">
        <v>60</v>
      </c>
      <c r="B11" s="195"/>
      <c r="C11" s="195"/>
      <c r="D11" s="195"/>
      <c r="E11" s="195"/>
      <c r="F11" s="195"/>
      <c r="G11" s="195"/>
      <c r="H11" s="195"/>
      <c r="I11" s="194">
        <v>2</v>
      </c>
      <c r="J11" s="194"/>
      <c r="K11" s="194"/>
      <c r="L11" s="194"/>
      <c r="M11" s="194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C11" s="37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3"/>
    </row>
    <row r="12" spans="1:41" ht="17.7" x14ac:dyDescent="0.55000000000000004">
      <c r="A12" s="196" t="s">
        <v>132</v>
      </c>
      <c r="B12" s="196"/>
      <c r="C12" s="196"/>
      <c r="D12" s="196"/>
      <c r="E12" s="196"/>
      <c r="F12" s="196"/>
      <c r="G12" s="196"/>
      <c r="H12" s="196"/>
      <c r="I12" s="194">
        <v>3</v>
      </c>
      <c r="J12" s="194"/>
      <c r="K12" s="194"/>
      <c r="L12" s="194"/>
      <c r="M12" s="194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37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3"/>
    </row>
    <row r="13" spans="1:41" ht="17.399999999999999" x14ac:dyDescent="0.55000000000000004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3"/>
    </row>
    <row r="14" spans="1:41" ht="17.399999999999999" x14ac:dyDescent="0.55000000000000004">
      <c r="A14" s="191" t="s">
        <v>134</v>
      </c>
      <c r="B14" s="191"/>
      <c r="C14" s="191"/>
      <c r="D14" s="191"/>
      <c r="E14" s="191"/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80" t="s">
        <v>16</v>
      </c>
      <c r="V14" s="180"/>
      <c r="W14" s="180"/>
      <c r="X14" s="203">
        <v>1</v>
      </c>
      <c r="Y14" s="204"/>
      <c r="Z14" s="43"/>
      <c r="AB14" s="1"/>
      <c r="AC14" s="1"/>
      <c r="AD14" s="1"/>
    </row>
    <row r="15" spans="1:41" ht="17.399999999999999" x14ac:dyDescent="0.55000000000000004">
      <c r="C15" s="3"/>
      <c r="D15" s="3"/>
      <c r="E15" s="3"/>
      <c r="F15" s="3"/>
      <c r="G15" s="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O15" s="1" t="s">
        <v>106</v>
      </c>
    </row>
    <row r="16" spans="1:41" ht="17.399999999999999" x14ac:dyDescent="0.55000000000000004">
      <c r="A16" s="191" t="s">
        <v>1</v>
      </c>
      <c r="B16" s="191"/>
      <c r="C16" s="191"/>
      <c r="D16" s="191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  <c r="AB16" s="191"/>
      <c r="AC16" s="191"/>
      <c r="AD16" s="191"/>
      <c r="AE16" s="191"/>
      <c r="AF16" s="191"/>
      <c r="AG16" s="191"/>
      <c r="AH16" s="191"/>
      <c r="AI16" s="191"/>
      <c r="AJ16" s="191"/>
      <c r="AK16" s="191"/>
      <c r="AL16" s="191"/>
      <c r="AM16" s="191"/>
      <c r="AO16" s="1" t="s">
        <v>107</v>
      </c>
    </row>
    <row r="17" spans="1:49" ht="17.399999999999999" x14ac:dyDescent="0.55000000000000004">
      <c r="A17" s="4" t="s">
        <v>9</v>
      </c>
      <c r="B17" s="4"/>
      <c r="C17" s="192" t="s">
        <v>2</v>
      </c>
      <c r="D17" s="192"/>
      <c r="E17" s="192"/>
      <c r="F17" s="192"/>
      <c r="G17" s="192"/>
      <c r="H17" s="192"/>
      <c r="I17" s="192"/>
      <c r="J17" s="192"/>
      <c r="K17" s="192"/>
      <c r="L17" s="192" t="s">
        <v>10</v>
      </c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 t="s">
        <v>11</v>
      </c>
      <c r="AH17" s="192"/>
      <c r="AI17" s="192"/>
      <c r="AJ17" s="192"/>
      <c r="AK17" s="8" t="s">
        <v>12</v>
      </c>
      <c r="AL17" s="8"/>
      <c r="AM17" s="8"/>
      <c r="AO17" s="1" t="s">
        <v>108</v>
      </c>
      <c r="AV17" t="s">
        <v>20</v>
      </c>
    </row>
    <row r="18" spans="1:49" ht="15.3" x14ac:dyDescent="0.55000000000000004">
      <c r="A18" s="9">
        <v>1</v>
      </c>
      <c r="B18" s="9"/>
      <c r="C18" s="189" t="s">
        <v>3</v>
      </c>
      <c r="D18" s="189"/>
      <c r="E18" s="189"/>
      <c r="F18" s="189"/>
      <c r="G18" s="189"/>
      <c r="H18" s="189"/>
      <c r="I18" s="189"/>
      <c r="J18" s="189"/>
      <c r="K18" s="189"/>
      <c r="L18" s="189" t="s">
        <v>106</v>
      </c>
      <c r="M18" s="189"/>
      <c r="N18" s="189"/>
      <c r="O18" s="189"/>
      <c r="P18" s="189"/>
      <c r="Q18" s="189"/>
      <c r="R18" s="189"/>
      <c r="S18" s="189"/>
      <c r="T18" s="189"/>
      <c r="U18" s="189"/>
      <c r="V18" s="189"/>
      <c r="W18" s="189"/>
      <c r="X18" s="189"/>
      <c r="Y18" s="189"/>
      <c r="Z18" s="189"/>
      <c r="AA18" s="189"/>
      <c r="AB18" s="189"/>
      <c r="AC18" s="189"/>
      <c r="AD18" s="189"/>
      <c r="AE18" s="143">
        <v>3</v>
      </c>
      <c r="AF18" s="143"/>
      <c r="AG18" s="187">
        <v>0.16</v>
      </c>
      <c r="AH18" s="187"/>
      <c r="AI18" s="187"/>
      <c r="AJ18" s="187"/>
      <c r="AK18" s="97">
        <f t="shared" ref="AK18:AK23" si="0">AE18*AG18</f>
        <v>0.48</v>
      </c>
      <c r="AL18" s="97"/>
      <c r="AM18" s="97"/>
      <c r="AO18" s="1" t="s">
        <v>109</v>
      </c>
      <c r="AV18" t="s">
        <v>21</v>
      </c>
    </row>
    <row r="19" spans="1:49" ht="30" customHeight="1" x14ac:dyDescent="0.55000000000000004">
      <c r="A19" s="9">
        <v>2</v>
      </c>
      <c r="B19" s="9"/>
      <c r="C19" s="190" t="s">
        <v>4</v>
      </c>
      <c r="D19" s="190"/>
      <c r="E19" s="190"/>
      <c r="F19" s="190"/>
      <c r="G19" s="190"/>
      <c r="H19" s="190"/>
      <c r="I19" s="190"/>
      <c r="J19" s="190"/>
      <c r="K19" s="190"/>
      <c r="L19" s="188" t="s">
        <v>112</v>
      </c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88"/>
      <c r="AB19" s="188"/>
      <c r="AC19" s="188"/>
      <c r="AD19" s="188"/>
      <c r="AE19" s="143">
        <v>1.67</v>
      </c>
      <c r="AF19" s="143"/>
      <c r="AG19" s="187">
        <v>0.09</v>
      </c>
      <c r="AH19" s="187"/>
      <c r="AI19" s="187"/>
      <c r="AJ19" s="187"/>
      <c r="AK19" s="97">
        <f t="shared" si="0"/>
        <v>0.15029999999999999</v>
      </c>
      <c r="AL19" s="97"/>
      <c r="AM19" s="97"/>
      <c r="AO19" s="1" t="s">
        <v>110</v>
      </c>
      <c r="AV19" t="s">
        <v>16</v>
      </c>
    </row>
    <row r="20" spans="1:49" ht="15.3" x14ac:dyDescent="0.55000000000000004">
      <c r="A20" s="9">
        <v>3</v>
      </c>
      <c r="B20" s="9"/>
      <c r="C20" s="185" t="s">
        <v>5</v>
      </c>
      <c r="D20" s="185"/>
      <c r="E20" s="185"/>
      <c r="F20" s="185"/>
      <c r="G20" s="185"/>
      <c r="H20" s="185"/>
      <c r="I20" s="185"/>
      <c r="J20" s="185"/>
      <c r="K20" s="185"/>
      <c r="L20" s="169" t="s">
        <v>117</v>
      </c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  <c r="Z20" s="169"/>
      <c r="AA20" s="169"/>
      <c r="AB20" s="169"/>
      <c r="AC20" s="169"/>
      <c r="AD20" s="169"/>
      <c r="AE20" s="143">
        <v>1</v>
      </c>
      <c r="AF20" s="143"/>
      <c r="AG20" s="187">
        <v>0.56000000000000005</v>
      </c>
      <c r="AH20" s="187"/>
      <c r="AI20" s="187"/>
      <c r="AJ20" s="187"/>
      <c r="AK20" s="97">
        <f t="shared" si="0"/>
        <v>0.56000000000000005</v>
      </c>
      <c r="AL20" s="97"/>
      <c r="AM20" s="97"/>
      <c r="AO20" s="1" t="s">
        <v>111</v>
      </c>
    </row>
    <row r="21" spans="1:49" ht="15.3" x14ac:dyDescent="0.55000000000000004">
      <c r="A21" s="9">
        <v>4</v>
      </c>
      <c r="B21" s="9"/>
      <c r="C21" s="189" t="s">
        <v>6</v>
      </c>
      <c r="D21" s="189"/>
      <c r="E21" s="189"/>
      <c r="F21" s="189"/>
      <c r="G21" s="189"/>
      <c r="H21" s="189"/>
      <c r="I21" s="189"/>
      <c r="J21" s="189"/>
      <c r="K21" s="189"/>
      <c r="L21" s="169" t="s">
        <v>121</v>
      </c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  <c r="AA21" s="169"/>
      <c r="AB21" s="169"/>
      <c r="AC21" s="169"/>
      <c r="AD21" s="169"/>
      <c r="AE21" s="143">
        <v>1</v>
      </c>
      <c r="AF21" s="143"/>
      <c r="AG21" s="187">
        <v>0.05</v>
      </c>
      <c r="AH21" s="187"/>
      <c r="AI21" s="187"/>
      <c r="AJ21" s="187"/>
      <c r="AK21" s="97">
        <f t="shared" si="0"/>
        <v>0.05</v>
      </c>
      <c r="AL21" s="97"/>
      <c r="AM21" s="97"/>
      <c r="AO21" s="1" t="s">
        <v>112</v>
      </c>
      <c r="AU21">
        <v>1</v>
      </c>
      <c r="AV21">
        <v>1</v>
      </c>
      <c r="AW21">
        <v>2</v>
      </c>
    </row>
    <row r="22" spans="1:49" ht="30.9" customHeight="1" x14ac:dyDescent="0.55000000000000004">
      <c r="A22" s="9">
        <v>5</v>
      </c>
      <c r="B22" s="9"/>
      <c r="C22" s="185" t="s">
        <v>7</v>
      </c>
      <c r="D22" s="185"/>
      <c r="E22" s="185"/>
      <c r="F22" s="185"/>
      <c r="G22" s="185"/>
      <c r="H22" s="185"/>
      <c r="I22" s="185"/>
      <c r="J22" s="185"/>
      <c r="K22" s="185"/>
      <c r="L22" s="186" t="s">
        <v>125</v>
      </c>
      <c r="M22" s="186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6"/>
      <c r="AB22" s="186"/>
      <c r="AC22" s="186"/>
      <c r="AD22" s="186"/>
      <c r="AE22" s="143">
        <v>1</v>
      </c>
      <c r="AF22" s="143"/>
      <c r="AG22" s="187">
        <v>0.06</v>
      </c>
      <c r="AH22" s="187"/>
      <c r="AI22" s="187"/>
      <c r="AJ22" s="187"/>
      <c r="AK22" s="97">
        <f t="shared" si="0"/>
        <v>0.06</v>
      </c>
      <c r="AL22" s="97"/>
      <c r="AM22" s="97"/>
      <c r="AO22" s="1" t="s">
        <v>113</v>
      </c>
      <c r="AU22">
        <v>1.67</v>
      </c>
      <c r="AV22">
        <v>2</v>
      </c>
      <c r="AW22">
        <v>4</v>
      </c>
    </row>
    <row r="23" spans="1:49" ht="33" customHeight="1" x14ac:dyDescent="0.55000000000000004">
      <c r="A23" s="9">
        <v>6</v>
      </c>
      <c r="B23" s="9"/>
      <c r="C23" s="185" t="s">
        <v>58</v>
      </c>
      <c r="D23" s="185"/>
      <c r="E23" s="185"/>
      <c r="F23" s="185"/>
      <c r="G23" s="185"/>
      <c r="H23" s="185"/>
      <c r="I23" s="185"/>
      <c r="J23" s="185"/>
      <c r="K23" s="185"/>
      <c r="L23" s="188" t="s">
        <v>129</v>
      </c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88"/>
      <c r="AD23" s="188"/>
      <c r="AE23" s="143">
        <v>1</v>
      </c>
      <c r="AF23" s="143"/>
      <c r="AG23" s="187">
        <v>0.08</v>
      </c>
      <c r="AH23" s="187"/>
      <c r="AI23" s="187"/>
      <c r="AJ23" s="187"/>
      <c r="AK23" s="97">
        <f t="shared" si="0"/>
        <v>0.08</v>
      </c>
      <c r="AL23" s="97"/>
      <c r="AM23" s="97"/>
      <c r="AO23" s="1" t="s">
        <v>114</v>
      </c>
      <c r="AU23">
        <v>2.33</v>
      </c>
      <c r="AV23">
        <v>3</v>
      </c>
      <c r="AW23">
        <v>6</v>
      </c>
    </row>
    <row r="24" spans="1:49" ht="17.399999999999999" x14ac:dyDescent="0.55000000000000004">
      <c r="A24" s="178" t="s">
        <v>15</v>
      </c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179"/>
      <c r="Z24" s="179"/>
      <c r="AA24" s="179"/>
      <c r="AB24" s="179"/>
      <c r="AC24" s="179"/>
      <c r="AD24" s="179"/>
      <c r="AE24" s="179"/>
      <c r="AF24" s="179"/>
      <c r="AG24" s="179"/>
      <c r="AH24" s="179"/>
      <c r="AI24" s="179"/>
      <c r="AJ24" s="179"/>
      <c r="AK24" s="180">
        <f>SUM(AK18:AK23)</f>
        <v>1.3803000000000003</v>
      </c>
      <c r="AL24" s="180"/>
      <c r="AM24" s="180"/>
      <c r="AO24" s="1" t="s">
        <v>115</v>
      </c>
      <c r="AU24" s="13">
        <v>3</v>
      </c>
    </row>
    <row r="25" spans="1:49" ht="15.3" x14ac:dyDescent="0.5500000000000000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B25" s="1"/>
      <c r="AC25" s="1"/>
      <c r="AD25" s="1"/>
      <c r="AO25" s="1" t="s">
        <v>116</v>
      </c>
    </row>
    <row r="26" spans="1:49" ht="15.3" x14ac:dyDescent="0.55000000000000004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B26" s="1"/>
      <c r="AC26" s="1"/>
      <c r="AD26" s="1"/>
      <c r="AO26" s="1" t="s">
        <v>117</v>
      </c>
    </row>
    <row r="27" spans="1:49" ht="19.8" x14ac:dyDescent="0.65">
      <c r="A27" s="181" t="s">
        <v>14</v>
      </c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  <c r="AJ27" s="181"/>
      <c r="AK27" s="181"/>
      <c r="AL27" s="181"/>
      <c r="AM27" s="181"/>
      <c r="AO27" s="1" t="s">
        <v>118</v>
      </c>
    </row>
    <row r="28" spans="1:49" ht="17.7" x14ac:dyDescent="0.55000000000000004">
      <c r="AE28" s="31"/>
      <c r="AO28" s="1" t="s">
        <v>119</v>
      </c>
    </row>
    <row r="29" spans="1:49" ht="15.75" customHeight="1" x14ac:dyDescent="0.75">
      <c r="A29" s="42" t="s">
        <v>138</v>
      </c>
      <c r="B29" s="42"/>
      <c r="C29" s="42" t="s">
        <v>139</v>
      </c>
      <c r="D29" s="182" t="s">
        <v>141</v>
      </c>
      <c r="E29" s="182"/>
      <c r="F29" s="183">
        <f>X14</f>
        <v>1</v>
      </c>
      <c r="G29" s="183"/>
      <c r="H29" s="184" t="s">
        <v>142</v>
      </c>
      <c r="I29" s="184"/>
      <c r="J29" s="182" t="s">
        <v>140</v>
      </c>
      <c r="K29" s="182"/>
      <c r="L29" s="150">
        <f>AK24</f>
        <v>1.3803000000000003</v>
      </c>
      <c r="M29" s="150"/>
      <c r="N29" s="150"/>
      <c r="O29" s="42" t="s">
        <v>139</v>
      </c>
      <c r="P29" s="208">
        <f>F29*L29</f>
        <v>1.3803000000000003</v>
      </c>
      <c r="Q29" s="208"/>
      <c r="R29" s="208"/>
      <c r="AE29" s="37"/>
      <c r="AO29" s="1" t="s">
        <v>120</v>
      </c>
    </row>
    <row r="30" spans="1:49" ht="15.75" customHeight="1" x14ac:dyDescent="0.55000000000000004">
      <c r="A30" s="3"/>
      <c r="B30" s="3"/>
      <c r="C30" s="3"/>
      <c r="D30" s="3"/>
      <c r="E30" s="3"/>
      <c r="F30" s="3"/>
      <c r="G30" s="3"/>
      <c r="H30" s="40"/>
      <c r="I30" s="40"/>
      <c r="J30" s="41"/>
      <c r="AE30" s="37"/>
      <c r="AO30" s="1" t="s">
        <v>121</v>
      </c>
    </row>
    <row r="31" spans="1:49" ht="17.7" x14ac:dyDescent="0.55000000000000004">
      <c r="AE31" s="37"/>
      <c r="AO31" s="1" t="s">
        <v>122</v>
      </c>
    </row>
    <row r="32" spans="1:49" ht="20.399999999999999" x14ac:dyDescent="0.75">
      <c r="A32" s="3" t="s">
        <v>13</v>
      </c>
      <c r="B32" s="3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O32" s="1" t="s">
        <v>123</v>
      </c>
    </row>
    <row r="33" spans="1:59" ht="15.3" x14ac:dyDescent="0.5500000000000000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AO33" s="1" t="s">
        <v>124</v>
      </c>
    </row>
    <row r="34" spans="1:59" ht="17.399999999999999" x14ac:dyDescent="0.55000000000000004">
      <c r="A34" s="174" t="s">
        <v>23</v>
      </c>
      <c r="B34" s="174"/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  <c r="AA34" s="174"/>
      <c r="AB34" s="22"/>
      <c r="AC34" s="22"/>
      <c r="AO34" s="1" t="s">
        <v>125</v>
      </c>
    </row>
    <row r="35" spans="1:59" ht="17.399999999999999" x14ac:dyDescent="0.55000000000000004">
      <c r="A35" s="174" t="s">
        <v>22</v>
      </c>
      <c r="B35" s="174"/>
      <c r="C35" s="174"/>
      <c r="D35" s="174"/>
      <c r="E35" s="174"/>
      <c r="F35" s="174"/>
      <c r="G35" s="174"/>
      <c r="H35" s="175" t="s">
        <v>18</v>
      </c>
      <c r="I35" s="175"/>
      <c r="J35" s="175"/>
      <c r="K35" s="175"/>
      <c r="L35" s="175"/>
      <c r="M35" s="175"/>
      <c r="N35" s="175"/>
      <c r="O35" s="175"/>
      <c r="P35" s="174" t="s">
        <v>24</v>
      </c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38"/>
      <c r="AC35" s="38"/>
      <c r="AO35" s="1" t="s">
        <v>126</v>
      </c>
    </row>
    <row r="36" spans="1:59" ht="17.399999999999999" x14ac:dyDescent="0.55000000000000004">
      <c r="A36" s="169" t="s">
        <v>147</v>
      </c>
      <c r="B36" s="169"/>
      <c r="C36" s="169"/>
      <c r="D36" s="169"/>
      <c r="E36" s="169"/>
      <c r="F36" s="169"/>
      <c r="G36" s="169"/>
      <c r="H36" s="176" t="s">
        <v>61</v>
      </c>
      <c r="I36" s="176"/>
      <c r="J36" s="176"/>
      <c r="K36" s="176"/>
      <c r="L36" s="176"/>
      <c r="M36" s="176"/>
      <c r="N36" s="176"/>
      <c r="O36" s="176"/>
      <c r="P36" s="177" t="s">
        <v>26</v>
      </c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177"/>
      <c r="AB36" s="3"/>
      <c r="AC36" s="3"/>
      <c r="AO36" s="1" t="s">
        <v>127</v>
      </c>
    </row>
    <row r="37" spans="1:59" ht="17.399999999999999" x14ac:dyDescent="0.55000000000000004">
      <c r="A37" s="169" t="s">
        <v>149</v>
      </c>
      <c r="B37" s="169"/>
      <c r="C37" s="169"/>
      <c r="D37" s="169"/>
      <c r="E37" s="169"/>
      <c r="F37" s="169"/>
      <c r="G37" s="169"/>
      <c r="H37" s="170" t="s">
        <v>60</v>
      </c>
      <c r="I37" s="170"/>
      <c r="J37" s="170"/>
      <c r="K37" s="170"/>
      <c r="L37" s="170"/>
      <c r="M37" s="170"/>
      <c r="N37" s="170"/>
      <c r="O37" s="170"/>
      <c r="P37" s="171" t="s">
        <v>28</v>
      </c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1"/>
      <c r="AB37" s="3"/>
      <c r="AC37" s="3"/>
      <c r="AD37" s="1"/>
      <c r="AO37" s="1" t="s">
        <v>128</v>
      </c>
    </row>
    <row r="38" spans="1:59" ht="17.399999999999999" x14ac:dyDescent="0.55000000000000004">
      <c r="A38" s="169" t="s">
        <v>151</v>
      </c>
      <c r="B38" s="169"/>
      <c r="C38" s="169"/>
      <c r="D38" s="169"/>
      <c r="E38" s="169"/>
      <c r="F38" s="169"/>
      <c r="G38" s="169"/>
      <c r="H38" s="172" t="s">
        <v>59</v>
      </c>
      <c r="I38" s="172"/>
      <c r="J38" s="172"/>
      <c r="K38" s="172"/>
      <c r="L38" s="172"/>
      <c r="M38" s="172"/>
      <c r="N38" s="172"/>
      <c r="O38" s="172"/>
      <c r="P38" s="173" t="s">
        <v>29</v>
      </c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3"/>
      <c r="AC38" s="3"/>
      <c r="AD38" s="3"/>
      <c r="AE38" s="3"/>
      <c r="AO38" s="1" t="s">
        <v>129</v>
      </c>
    </row>
    <row r="39" spans="1:59" ht="17.399999999999999" x14ac:dyDescent="0.55000000000000004">
      <c r="AD39" s="38"/>
      <c r="AE39" s="38"/>
      <c r="AF39" s="38"/>
    </row>
    <row r="40" spans="1:59" ht="19.8" x14ac:dyDescent="0.65">
      <c r="A40" s="205" t="s">
        <v>22</v>
      </c>
      <c r="B40" s="206"/>
      <c r="C40" s="206"/>
      <c r="D40" s="206"/>
      <c r="E40" s="206"/>
      <c r="F40" s="206"/>
      <c r="G40" s="207"/>
      <c r="H40" s="92">
        <f>P29</f>
        <v>1.3803000000000003</v>
      </c>
      <c r="I40" s="93"/>
      <c r="J40" s="93"/>
      <c r="K40" s="180" t="s">
        <v>16</v>
      </c>
      <c r="L40" s="180"/>
      <c r="M40" s="180"/>
      <c r="N40" s="180"/>
      <c r="O40" s="180"/>
      <c r="P40" s="180"/>
      <c r="Q40" s="180"/>
      <c r="R40" s="180"/>
      <c r="S40" s="180"/>
      <c r="AD40" s="3"/>
      <c r="AE40" s="3"/>
      <c r="AF40" s="3"/>
    </row>
    <row r="41" spans="1:59" ht="19.8" x14ac:dyDescent="0.65">
      <c r="A41" s="166" t="s">
        <v>70</v>
      </c>
      <c r="B41" s="166"/>
      <c r="C41" s="166"/>
      <c r="D41" s="166"/>
      <c r="E41" s="166"/>
      <c r="F41" s="166"/>
      <c r="G41" s="166"/>
      <c r="H41" s="166"/>
      <c r="I41" s="166"/>
      <c r="J41" s="166"/>
      <c r="K41" s="166"/>
      <c r="L41" s="166"/>
      <c r="M41" s="166"/>
      <c r="N41" s="167" t="s">
        <v>26</v>
      </c>
      <c r="O41" s="167"/>
      <c r="P41" s="167"/>
      <c r="Q41" s="167"/>
      <c r="R41" s="167"/>
      <c r="S41" s="167"/>
      <c r="AD41" s="3"/>
      <c r="AE41" s="3"/>
      <c r="AF41" s="3"/>
    </row>
    <row r="42" spans="1:59" ht="17.7" x14ac:dyDescent="0.6">
      <c r="AD42" s="3"/>
      <c r="AE42" s="3"/>
      <c r="AF42" s="3"/>
      <c r="AO42" s="2" t="s">
        <v>62</v>
      </c>
      <c r="AP42" s="2"/>
      <c r="AQ42" s="2"/>
      <c r="AT42" s="2" t="s">
        <v>62</v>
      </c>
      <c r="AU42" s="2"/>
      <c r="AV42" s="2"/>
    </row>
    <row r="43" spans="1:59" ht="15.3" x14ac:dyDescent="0.55000000000000004"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B43" s="1"/>
      <c r="AC43" s="1"/>
      <c r="AD43" s="1"/>
      <c r="AM43" s="1"/>
      <c r="AO43" s="168" t="s">
        <v>73</v>
      </c>
      <c r="AP43" s="168"/>
      <c r="AQ43" s="168"/>
      <c r="AR43" s="1"/>
      <c r="AS43" s="1"/>
      <c r="AT43" s="168" t="s">
        <v>74</v>
      </c>
      <c r="AU43" s="168"/>
      <c r="AV43" s="168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</row>
    <row r="44" spans="1:59" ht="15.3" x14ac:dyDescent="0.55000000000000004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B44" s="1"/>
      <c r="AC44" s="1"/>
      <c r="AD44" s="1"/>
      <c r="AM44" s="1"/>
      <c r="AO44" s="159" t="s">
        <v>63</v>
      </c>
      <c r="AP44" s="161" t="s">
        <v>64</v>
      </c>
      <c r="AQ44" s="161"/>
      <c r="AR44" s="1"/>
      <c r="AS44" s="1"/>
      <c r="AT44" s="159" t="s">
        <v>63</v>
      </c>
      <c r="AU44" s="161" t="s">
        <v>64</v>
      </c>
      <c r="AV44" s="161"/>
      <c r="AW44" s="1"/>
      <c r="AX44" s="1" t="s">
        <v>26</v>
      </c>
      <c r="AY44" s="1">
        <v>1</v>
      </c>
      <c r="AZ44" s="1"/>
      <c r="BA44" s="1"/>
      <c r="BB44" s="1"/>
      <c r="BC44" s="1"/>
      <c r="BD44" s="1"/>
      <c r="BE44" s="1"/>
      <c r="BF44" s="1"/>
      <c r="BG44" s="1"/>
    </row>
    <row r="45" spans="1:59" ht="17.7" x14ac:dyDescent="0.55000000000000004"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C45" s="41"/>
      <c r="AD45" s="1"/>
      <c r="AM45" s="1"/>
      <c r="AO45" s="160"/>
      <c r="AP45" s="5" t="s">
        <v>65</v>
      </c>
      <c r="AQ45" s="5" t="s">
        <v>66</v>
      </c>
      <c r="AR45" s="1"/>
      <c r="AS45" s="1"/>
      <c r="AT45" s="160"/>
      <c r="AU45" s="5" t="s">
        <v>65</v>
      </c>
      <c r="AV45" s="5" t="s">
        <v>66</v>
      </c>
      <c r="AW45" s="1"/>
      <c r="AX45" t="s">
        <v>28</v>
      </c>
      <c r="AY45" s="1">
        <v>2</v>
      </c>
      <c r="AZ45" s="1"/>
      <c r="BA45" s="1"/>
      <c r="BB45" s="1"/>
      <c r="BC45" s="1"/>
      <c r="BD45" s="1"/>
      <c r="BE45" s="1"/>
      <c r="BF45" s="1"/>
      <c r="BG45" s="1"/>
    </row>
    <row r="46" spans="1:59" ht="17.399999999999999" x14ac:dyDescent="0.55000000000000004">
      <c r="A46" s="162"/>
      <c r="B46" s="162"/>
      <c r="C46" s="162"/>
      <c r="D46" s="162"/>
      <c r="E46" s="162"/>
      <c r="F46" s="162"/>
      <c r="G46" s="162"/>
      <c r="H46" s="3"/>
      <c r="I46" s="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B46" s="1"/>
      <c r="AC46" s="1"/>
      <c r="AD46" s="1"/>
      <c r="AM46" s="1"/>
      <c r="AO46" s="7">
        <v>0.16</v>
      </c>
      <c r="AP46" s="18">
        <f>AO46*1</f>
        <v>0.16</v>
      </c>
      <c r="AQ46" s="5">
        <f>AO46*3</f>
        <v>0.48</v>
      </c>
      <c r="AR46" s="1"/>
      <c r="AS46" s="1"/>
      <c r="AT46" s="7">
        <v>0.16</v>
      </c>
      <c r="AU46" s="18">
        <f>AT46*2</f>
        <v>0.32</v>
      </c>
      <c r="AV46" s="5">
        <f>AT46*6</f>
        <v>0.96</v>
      </c>
      <c r="AW46" s="1"/>
      <c r="AX46" s="1" t="s">
        <v>29</v>
      </c>
      <c r="AY46" s="1">
        <v>3</v>
      </c>
      <c r="AZ46" s="1"/>
      <c r="BA46" s="1"/>
      <c r="BB46" s="1"/>
      <c r="BC46" s="1"/>
      <c r="BD46" s="1"/>
      <c r="BE46" s="1"/>
      <c r="BF46" s="1"/>
      <c r="BG46" s="1"/>
    </row>
    <row r="47" spans="1:59" ht="17.399999999999999" x14ac:dyDescent="0.55000000000000004">
      <c r="A47" s="147"/>
      <c r="B47" s="147"/>
      <c r="C47" s="147"/>
      <c r="D47" s="147"/>
      <c r="E47" s="147"/>
      <c r="F47" s="147"/>
      <c r="G47" s="147"/>
      <c r="H47" s="22"/>
      <c r="I47" s="3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B47" s="1"/>
      <c r="AC47" s="1"/>
      <c r="AD47" s="1"/>
      <c r="AM47" s="1"/>
      <c r="AO47" s="7">
        <v>0.09</v>
      </c>
      <c r="AP47" s="18">
        <f t="shared" ref="AP47:AP51" si="1">AO47*1</f>
        <v>0.09</v>
      </c>
      <c r="AQ47" s="5">
        <f t="shared" ref="AQ47:AQ51" si="2">AO47*3</f>
        <v>0.27</v>
      </c>
      <c r="AR47" s="1"/>
      <c r="AS47" s="1"/>
      <c r="AT47" s="7">
        <v>0.09</v>
      </c>
      <c r="AU47" s="18">
        <f t="shared" ref="AU47:AU51" si="3">AT47*2</f>
        <v>0.18</v>
      </c>
      <c r="AV47" s="5">
        <f t="shared" ref="AV47:AV51" si="4">AT47*6</f>
        <v>0.54</v>
      </c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</row>
    <row r="48" spans="1:59" ht="17.399999999999999" x14ac:dyDescent="0.55000000000000004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1"/>
      <c r="AB48" s="1"/>
      <c r="AC48" s="1"/>
      <c r="AD48" s="1"/>
      <c r="AM48" s="1"/>
      <c r="AO48" s="7">
        <v>0.56000000000000005</v>
      </c>
      <c r="AP48" s="18">
        <f t="shared" si="1"/>
        <v>0.56000000000000005</v>
      </c>
      <c r="AQ48" s="5">
        <f t="shared" si="2"/>
        <v>1.6800000000000002</v>
      </c>
      <c r="AR48" s="1"/>
      <c r="AS48" s="1"/>
      <c r="AT48" s="7">
        <v>0.56000000000000005</v>
      </c>
      <c r="AU48" s="18">
        <f t="shared" si="3"/>
        <v>1.1200000000000001</v>
      </c>
      <c r="AV48" s="5">
        <f t="shared" si="4"/>
        <v>3.3600000000000003</v>
      </c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</row>
    <row r="49" spans="1:59" ht="15.3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M49" s="1"/>
      <c r="AO49" s="7">
        <v>0.05</v>
      </c>
      <c r="AP49" s="18">
        <f t="shared" si="1"/>
        <v>0.05</v>
      </c>
      <c r="AQ49" s="5">
        <f t="shared" si="2"/>
        <v>0.15000000000000002</v>
      </c>
      <c r="AR49" s="1"/>
      <c r="AS49" s="1"/>
      <c r="AT49" s="7">
        <v>0.05</v>
      </c>
      <c r="AU49" s="18">
        <f t="shared" si="3"/>
        <v>0.1</v>
      </c>
      <c r="AV49" s="5">
        <f t="shared" si="4"/>
        <v>0.30000000000000004</v>
      </c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</row>
    <row r="50" spans="1:59" ht="17.7" x14ac:dyDescent="0.55000000000000004">
      <c r="AF50" s="31"/>
      <c r="AM50" s="1"/>
      <c r="AO50" s="7">
        <v>0.06</v>
      </c>
      <c r="AP50" s="18">
        <f t="shared" si="1"/>
        <v>0.06</v>
      </c>
      <c r="AQ50" s="5">
        <f t="shared" si="2"/>
        <v>0.18</v>
      </c>
      <c r="AR50" s="1"/>
      <c r="AS50" s="1"/>
      <c r="AT50" s="7">
        <v>0.06</v>
      </c>
      <c r="AU50" s="18">
        <f t="shared" si="3"/>
        <v>0.12</v>
      </c>
      <c r="AV50" s="5">
        <f t="shared" si="4"/>
        <v>0.36</v>
      </c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</row>
    <row r="51" spans="1:59" ht="17.399999999999999" x14ac:dyDescent="0.55000000000000004"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1"/>
      <c r="AO51" s="7">
        <v>0.08</v>
      </c>
      <c r="AP51" s="18">
        <f t="shared" si="1"/>
        <v>0.08</v>
      </c>
      <c r="AQ51" s="5">
        <f t="shared" si="2"/>
        <v>0.24</v>
      </c>
      <c r="AR51" s="1"/>
      <c r="AS51" s="1"/>
      <c r="AT51" s="7">
        <v>0.08</v>
      </c>
      <c r="AU51" s="18">
        <f t="shared" si="3"/>
        <v>0.16</v>
      </c>
      <c r="AV51" s="5">
        <f t="shared" si="4"/>
        <v>0.48</v>
      </c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</row>
    <row r="52" spans="1:59" ht="17.7" x14ac:dyDescent="0.6">
      <c r="AF52" s="36"/>
      <c r="AM52" s="1"/>
      <c r="AO52" s="32">
        <v>1</v>
      </c>
      <c r="AP52" s="30">
        <f>SUM(AP46:AP51)</f>
        <v>1.0000000000000002</v>
      </c>
      <c r="AQ52" s="30">
        <f>SUM(AQ46:AQ51)</f>
        <v>3</v>
      </c>
      <c r="AR52" s="1"/>
      <c r="AS52" s="1"/>
      <c r="AT52" s="12" t="s">
        <v>55</v>
      </c>
      <c r="AU52" s="5">
        <f>SUM(AU46:AU51)</f>
        <v>2.0000000000000004</v>
      </c>
      <c r="AV52" s="5">
        <f>SUM(AV46:AV51)</f>
        <v>6</v>
      </c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</row>
    <row r="53" spans="1:59" ht="17.399999999999999" x14ac:dyDescent="0.55000000000000004">
      <c r="AF53" s="36"/>
      <c r="AM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</row>
    <row r="54" spans="1:59" ht="15.3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56"/>
      <c r="AC54" s="156"/>
      <c r="AD54" s="1"/>
      <c r="AM54" s="1"/>
      <c r="AO54" s="1" t="s">
        <v>55</v>
      </c>
      <c r="AP54" s="10">
        <v>1</v>
      </c>
      <c r="AQ54" s="10">
        <v>9</v>
      </c>
      <c r="AR54" s="1"/>
      <c r="AS54" s="1"/>
      <c r="AT54" s="1" t="s">
        <v>67</v>
      </c>
      <c r="AU54" s="1">
        <f>AV52-AU52</f>
        <v>3.9999999999999996</v>
      </c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</row>
    <row r="55" spans="1:59" ht="17.7" x14ac:dyDescent="0.55000000000000004">
      <c r="A55" s="157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1"/>
      <c r="AB55" s="158"/>
      <c r="AC55" s="158"/>
      <c r="AD55" s="158"/>
      <c r="AE55" s="158"/>
      <c r="AF55" s="158"/>
      <c r="AG55" s="31"/>
      <c r="AH55" s="31"/>
      <c r="AI55" s="31"/>
      <c r="AJ55" s="31"/>
      <c r="AK55" s="31"/>
      <c r="AL55" s="31"/>
      <c r="AM55" s="1"/>
      <c r="AO55" s="1" t="s">
        <v>67</v>
      </c>
      <c r="AP55" s="1">
        <v>8</v>
      </c>
      <c r="AQ55" s="1"/>
      <c r="AR55" s="1"/>
      <c r="AS55" s="1"/>
      <c r="AT55" s="1" t="s">
        <v>68</v>
      </c>
      <c r="AU55" s="1">
        <v>3</v>
      </c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</row>
    <row r="56" spans="1:59" ht="17.7" x14ac:dyDescent="0.6">
      <c r="A56" s="146"/>
      <c r="B56" s="146"/>
      <c r="C56" s="146"/>
      <c r="D56" s="146"/>
      <c r="E56" s="146"/>
      <c r="F56" s="146"/>
      <c r="G56" s="146"/>
      <c r="H56" s="147"/>
      <c r="I56" s="147"/>
      <c r="J56" s="147"/>
      <c r="K56" s="147"/>
      <c r="L56" s="147"/>
      <c r="M56" s="147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1"/>
      <c r="AB56" s="148"/>
      <c r="AC56" s="148"/>
      <c r="AD56" s="148"/>
      <c r="AE56" s="148"/>
      <c r="AF56" s="148"/>
      <c r="AG56" s="149"/>
      <c r="AH56" s="149"/>
      <c r="AI56" s="35"/>
      <c r="AJ56" s="35"/>
      <c r="AK56" s="35"/>
      <c r="AL56" s="35"/>
      <c r="AM56" s="1"/>
      <c r="AO56" s="1" t="s">
        <v>68</v>
      </c>
      <c r="AP56" s="1">
        <v>3</v>
      </c>
      <c r="AQ56" s="1"/>
      <c r="AR56" s="1"/>
      <c r="AS56" s="1"/>
      <c r="AT56" s="1" t="s">
        <v>69</v>
      </c>
      <c r="AU56" s="19">
        <f>AU54/AU55</f>
        <v>1.3333333333333333</v>
      </c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</row>
    <row r="57" spans="1:59" ht="17.7" x14ac:dyDescent="0.6">
      <c r="A57" s="146"/>
      <c r="B57" s="146"/>
      <c r="C57" s="146"/>
      <c r="D57" s="146"/>
      <c r="E57" s="146"/>
      <c r="F57" s="146"/>
      <c r="G57" s="146"/>
      <c r="H57" s="147"/>
      <c r="I57" s="147"/>
      <c r="J57" s="147"/>
      <c r="K57" s="147"/>
      <c r="L57" s="147"/>
      <c r="M57" s="147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1"/>
      <c r="AB57" s="148"/>
      <c r="AC57" s="148"/>
      <c r="AD57" s="148"/>
      <c r="AE57" s="148"/>
      <c r="AF57" s="148"/>
      <c r="AG57" s="149"/>
      <c r="AH57" s="149"/>
      <c r="AI57" s="35"/>
      <c r="AJ57" s="35"/>
      <c r="AK57" s="35"/>
      <c r="AL57" s="35"/>
      <c r="AM57" s="1"/>
      <c r="AO57" s="1" t="s">
        <v>69</v>
      </c>
      <c r="AP57" s="19">
        <f>AP55/AP56</f>
        <v>2.6666666666666665</v>
      </c>
      <c r="AQ57" s="1"/>
      <c r="AR57" s="1"/>
      <c r="AS57" s="1"/>
      <c r="AT57" s="145" t="s">
        <v>70</v>
      </c>
      <c r="AU57" s="145"/>
      <c r="AV57" s="145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</row>
    <row r="58" spans="1:59" ht="17.7" x14ac:dyDescent="0.6">
      <c r="A58" s="146"/>
      <c r="B58" s="146"/>
      <c r="C58" s="146"/>
      <c r="D58" s="146"/>
      <c r="E58" s="146"/>
      <c r="F58" s="146"/>
      <c r="G58" s="146"/>
      <c r="H58" s="147"/>
      <c r="I58" s="147"/>
      <c r="J58" s="147"/>
      <c r="K58" s="147"/>
      <c r="L58" s="147"/>
      <c r="M58" s="147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1"/>
      <c r="AB58" s="148"/>
      <c r="AC58" s="148"/>
      <c r="AD58" s="148"/>
      <c r="AE58" s="148"/>
      <c r="AF58" s="148"/>
      <c r="AG58" s="149"/>
      <c r="AH58" s="149"/>
      <c r="AI58" s="35"/>
      <c r="AJ58" s="35"/>
      <c r="AK58" s="35"/>
      <c r="AL58" s="35"/>
      <c r="AM58" s="1"/>
      <c r="AO58" s="29" t="s">
        <v>70</v>
      </c>
      <c r="AP58" s="29"/>
      <c r="AQ58" s="29"/>
      <c r="AR58" s="1"/>
      <c r="AS58" s="1"/>
      <c r="AT58" s="1"/>
      <c r="AU58" s="1">
        <v>2</v>
      </c>
      <c r="AV58" s="19">
        <f>AU58+AU56</f>
        <v>3.333333333333333</v>
      </c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</row>
    <row r="59" spans="1:59" ht="15.3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M59" s="1"/>
      <c r="AO59" s="1"/>
      <c r="AP59" s="1">
        <v>1</v>
      </c>
      <c r="AQ59" s="19">
        <f>AP59+AP57</f>
        <v>3.6666666666666665</v>
      </c>
      <c r="AR59" s="1"/>
      <c r="AS59" s="1"/>
      <c r="AT59" s="1"/>
      <c r="AU59" s="1">
        <v>3.4</v>
      </c>
      <c r="AV59" s="19">
        <f>AU59+AU56</f>
        <v>4.7333333333333334</v>
      </c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</row>
    <row r="60" spans="1:59" ht="15.3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M60" s="1"/>
      <c r="AO60" s="1"/>
      <c r="AP60" s="33" t="s">
        <v>130</v>
      </c>
      <c r="AQ60" s="19">
        <v>6.4</v>
      </c>
      <c r="AR60" s="1"/>
      <c r="AS60" s="1"/>
      <c r="AT60" s="1"/>
      <c r="AU60" s="1">
        <v>4.8</v>
      </c>
      <c r="AV60" s="1">
        <v>6</v>
      </c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</row>
    <row r="61" spans="1:59" ht="15.3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M61" s="1"/>
      <c r="AO61" s="1"/>
      <c r="AP61" s="33" t="s">
        <v>131</v>
      </c>
      <c r="AQ61" s="1">
        <v>3</v>
      </c>
    </row>
    <row r="62" spans="1:59" ht="15.3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M62" s="1"/>
    </row>
    <row r="63" spans="1:59" ht="15.3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M63" s="1"/>
    </row>
    <row r="64" spans="1:59" ht="15.3" x14ac:dyDescent="0.5500000000000000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M64" s="1"/>
    </row>
    <row r="65" spans="1:30" ht="15.3" x14ac:dyDescent="0.5500000000000000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5.3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5.3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5.3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5.3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5.3" x14ac:dyDescent="0.5500000000000000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5.3" x14ac:dyDescent="0.5500000000000000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5.3" x14ac:dyDescent="0.5500000000000000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5.3" x14ac:dyDescent="0.5500000000000000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5.3" x14ac:dyDescent="0.5500000000000000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5.3" x14ac:dyDescent="0.5500000000000000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5.3" x14ac:dyDescent="0.5500000000000000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5.3" x14ac:dyDescent="0.5500000000000000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5.3" x14ac:dyDescent="0.5500000000000000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5.3" x14ac:dyDescent="0.5500000000000000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5.3" x14ac:dyDescent="0.5500000000000000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5.3" x14ac:dyDescent="0.5500000000000000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5.3" x14ac:dyDescent="0.5500000000000000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5.3" x14ac:dyDescent="0.5500000000000000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5.3" x14ac:dyDescent="0.5500000000000000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5.3" x14ac:dyDescent="0.5500000000000000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5.3" x14ac:dyDescent="0.5500000000000000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5.3" x14ac:dyDescent="0.5500000000000000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5.3" x14ac:dyDescent="0.5500000000000000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5.3" x14ac:dyDescent="0.5500000000000000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5.3" x14ac:dyDescent="0.5500000000000000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5.3" x14ac:dyDescent="0.5500000000000000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5.3" x14ac:dyDescent="0.5500000000000000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5.3" x14ac:dyDescent="0.5500000000000000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5.3" x14ac:dyDescent="0.5500000000000000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5.3" x14ac:dyDescent="0.5500000000000000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5.3" x14ac:dyDescent="0.5500000000000000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5.3" x14ac:dyDescent="0.5500000000000000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5.3" x14ac:dyDescent="0.5500000000000000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5.3" x14ac:dyDescent="0.5500000000000000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5.3" x14ac:dyDescent="0.5500000000000000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5.3" x14ac:dyDescent="0.5500000000000000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5.3" x14ac:dyDescent="0.5500000000000000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5.3" x14ac:dyDescent="0.5500000000000000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5.3" x14ac:dyDescent="0.550000000000000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5.3" x14ac:dyDescent="0.5500000000000000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5.3" x14ac:dyDescent="0.5500000000000000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5.3" x14ac:dyDescent="0.5500000000000000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5.3" x14ac:dyDescent="0.5500000000000000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5.3" x14ac:dyDescent="0.5500000000000000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5.3" x14ac:dyDescent="0.5500000000000000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5.3" x14ac:dyDescent="0.5500000000000000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5.3" x14ac:dyDescent="0.5500000000000000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5.3" x14ac:dyDescent="0.5500000000000000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5.3" x14ac:dyDescent="0.5500000000000000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</sheetData>
  <mergeCells count="104">
    <mergeCell ref="P36:AA36"/>
    <mergeCell ref="P37:AA37"/>
    <mergeCell ref="P38:AA38"/>
    <mergeCell ref="H29:I29"/>
    <mergeCell ref="H35:O35"/>
    <mergeCell ref="H36:O36"/>
    <mergeCell ref="H37:O37"/>
    <mergeCell ref="A34:AA34"/>
    <mergeCell ref="AO43:AQ43"/>
    <mergeCell ref="AT43:AV43"/>
    <mergeCell ref="AT44:AT45"/>
    <mergeCell ref="AU44:AV44"/>
    <mergeCell ref="AT57:AV57"/>
    <mergeCell ref="AG56:AH56"/>
    <mergeCell ref="AO44:AO45"/>
    <mergeCell ref="AG57:AH57"/>
    <mergeCell ref="AP44:AQ44"/>
    <mergeCell ref="A1:AM1"/>
    <mergeCell ref="A3:C3"/>
    <mergeCell ref="D3:I3"/>
    <mergeCell ref="A6:AM7"/>
    <mergeCell ref="A14:T14"/>
    <mergeCell ref="U14:W14"/>
    <mergeCell ref="X14:Y14"/>
    <mergeCell ref="A4:M4"/>
    <mergeCell ref="N4:AM4"/>
    <mergeCell ref="I9:M9"/>
    <mergeCell ref="I10:M10"/>
    <mergeCell ref="I11:M11"/>
    <mergeCell ref="I12:M12"/>
    <mergeCell ref="A10:H10"/>
    <mergeCell ref="A11:H11"/>
    <mergeCell ref="A12:H12"/>
    <mergeCell ref="A16:AM16"/>
    <mergeCell ref="A37:G37"/>
    <mergeCell ref="A36:G36"/>
    <mergeCell ref="A38:G38"/>
    <mergeCell ref="C19:K19"/>
    <mergeCell ref="AG58:AH58"/>
    <mergeCell ref="AG17:AJ17"/>
    <mergeCell ref="AG18:AJ18"/>
    <mergeCell ref="AG19:AJ19"/>
    <mergeCell ref="AG20:AJ20"/>
    <mergeCell ref="AG21:AJ21"/>
    <mergeCell ref="AG22:AJ22"/>
    <mergeCell ref="AG23:AJ23"/>
    <mergeCell ref="A24:AJ24"/>
    <mergeCell ref="N41:S41"/>
    <mergeCell ref="A41:M41"/>
    <mergeCell ref="A57:G57"/>
    <mergeCell ref="AB55:AF55"/>
    <mergeCell ref="AB54:AC54"/>
    <mergeCell ref="H57:M57"/>
    <mergeCell ref="A58:G58"/>
    <mergeCell ref="H58:M58"/>
    <mergeCell ref="C18:K18"/>
    <mergeCell ref="L18:AD18"/>
    <mergeCell ref="AB58:AF58"/>
    <mergeCell ref="A47:G47"/>
    <mergeCell ref="AB56:AF56"/>
    <mergeCell ref="AB57:AF57"/>
    <mergeCell ref="A55:G55"/>
    <mergeCell ref="H55:M55"/>
    <mergeCell ref="A56:G56"/>
    <mergeCell ref="AK24:AM24"/>
    <mergeCell ref="A27:AM27"/>
    <mergeCell ref="A40:G40"/>
    <mergeCell ref="L29:N29"/>
    <mergeCell ref="P29:R29"/>
    <mergeCell ref="H40:J40"/>
    <mergeCell ref="K40:S40"/>
    <mergeCell ref="F29:G29"/>
    <mergeCell ref="D29:E29"/>
    <mergeCell ref="H56:M56"/>
    <mergeCell ref="A46:G46"/>
    <mergeCell ref="A35:G35"/>
    <mergeCell ref="A48:I48"/>
    <mergeCell ref="J48:L48"/>
    <mergeCell ref="J29:K29"/>
    <mergeCell ref="H38:O38"/>
    <mergeCell ref="P35:AA35"/>
    <mergeCell ref="C20:K20"/>
    <mergeCell ref="L20:AD20"/>
    <mergeCell ref="C17:K17"/>
    <mergeCell ref="AK23:AM23"/>
    <mergeCell ref="L17:AF17"/>
    <mergeCell ref="AE18:AF18"/>
    <mergeCell ref="AE19:AF19"/>
    <mergeCell ref="AE20:AF20"/>
    <mergeCell ref="AE21:AF21"/>
    <mergeCell ref="AE22:AF22"/>
    <mergeCell ref="AE23:AF23"/>
    <mergeCell ref="AK18:AM18"/>
    <mergeCell ref="AK19:AM19"/>
    <mergeCell ref="AK20:AM20"/>
    <mergeCell ref="AK21:AM21"/>
    <mergeCell ref="AK22:AM22"/>
    <mergeCell ref="L19:AD19"/>
    <mergeCell ref="C23:K23"/>
    <mergeCell ref="L23:AD23"/>
    <mergeCell ref="C21:K21"/>
    <mergeCell ref="L21:AD21"/>
    <mergeCell ref="C22:K22"/>
    <mergeCell ref="L22:AD22"/>
  </mergeCells>
  <dataValidations count="12">
    <dataValidation type="list" allowBlank="1" showInputMessage="1" showErrorMessage="1" sqref="L23" xr:uid="{4E4B6FF8-74C9-43B5-982B-337CF9AA5659}">
      <formula1>$AO$35:$AO$38</formula1>
    </dataValidation>
    <dataValidation type="list" allowBlank="1" showInputMessage="1" showErrorMessage="1" sqref="L22" xr:uid="{6128FBE7-AF39-499B-B974-DF797227F3B1}">
      <formula1>$AO$31:$AO$34</formula1>
    </dataValidation>
    <dataValidation type="list" allowBlank="1" showInputMessage="1" showErrorMessage="1" sqref="L21" xr:uid="{82CF0543-FBD1-4454-9E87-DF349FBF711B}">
      <formula1>$AO$27:$AO$30</formula1>
    </dataValidation>
    <dataValidation type="list" allowBlank="1" showInputMessage="1" showErrorMessage="1" sqref="L20" xr:uid="{52A49E39-DF22-43F5-B9CC-F2B1364AC03C}">
      <formula1>$AO$23:$AO$26</formula1>
    </dataValidation>
    <dataValidation type="list" allowBlank="1" showInputMessage="1" showErrorMessage="1" sqref="L19" xr:uid="{C856E8CA-DCC2-4835-AAAD-506B053A1DF1}">
      <formula1>$AO$19:$AO$22</formula1>
    </dataValidation>
    <dataValidation type="list" allowBlank="1" showInputMessage="1" showErrorMessage="1" sqref="L18" xr:uid="{3E9D755A-5F2F-411F-A00F-CBCB24C707C8}">
      <formula1>$AO$15:$AO$18</formula1>
    </dataValidation>
    <dataValidation type="list" allowBlank="1" showInputMessage="1" showErrorMessage="1" sqref="AE18:AE23" xr:uid="{05156700-788B-4178-A3B1-439578561E55}">
      <formula1>$AU$21:$AU$24</formula1>
    </dataValidation>
    <dataValidation type="list" allowBlank="1" showInputMessage="1" showErrorMessage="1" sqref="J47" xr:uid="{D55A482A-8387-4523-9FD7-86E57C312460}">
      <formula1>$AW$21:$AW$23</formula1>
    </dataValidation>
    <dataValidation type="list" allowBlank="1" showInputMessage="1" showErrorMessage="1" sqref="H46 X14:Y14" xr:uid="{378E9A1D-4018-4677-AD58-1B688427A3D2}">
      <formula1>$AV$21:$AV$23</formula1>
    </dataValidation>
    <dataValidation type="list" allowBlank="1" showInputMessage="1" showErrorMessage="1" sqref="J48 M48:Z48 N41" xr:uid="{C70E3683-3F52-4CC1-B53C-FC09405BD613}">
      <formula1>$AX$44:$AX$46</formula1>
    </dataValidation>
    <dataValidation type="list" allowBlank="1" showInputMessage="1" showErrorMessage="1" sqref="J30" xr:uid="{52081442-037B-4FA1-BBE0-9B7C50AD0E7E}">
      <formula1>$AY$44:$AY$46</formula1>
    </dataValidation>
    <dataValidation type="list" allowBlank="1" showInputMessage="1" showErrorMessage="1" sqref="U14 K40" xr:uid="{ADB4244B-2922-4FAC-80FD-F34A27F11AEE}">
      <formula1>$AV$17:$AV$19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80534-5A8B-4793-89C8-54A038EAEEE4}">
  <dimension ref="A1:BG114"/>
  <sheetViews>
    <sheetView showGridLines="0" topLeftCell="A12" workbookViewId="0">
      <selection activeCell="BF20" sqref="BF20"/>
    </sheetView>
  </sheetViews>
  <sheetFormatPr baseColWidth="10" defaultColWidth="11.41796875" defaultRowHeight="14.4" x14ac:dyDescent="0.55000000000000004"/>
  <cols>
    <col min="1" max="39" width="2.68359375" customWidth="1"/>
    <col min="40" max="40" width="4.68359375" customWidth="1"/>
    <col min="41" max="57" width="0" hidden="1" customWidth="1"/>
  </cols>
  <sheetData>
    <row r="1" spans="1:41" ht="17.399999999999999" x14ac:dyDescent="0.55000000000000004">
      <c r="A1" s="147" t="s">
        <v>133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</row>
    <row r="2" spans="1:41" ht="17.399999999999999" x14ac:dyDescent="0.55000000000000004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</row>
    <row r="3" spans="1:41" ht="17.399999999999999" x14ac:dyDescent="0.55000000000000004">
      <c r="A3" s="197" t="s">
        <v>135</v>
      </c>
      <c r="B3" s="197"/>
      <c r="C3" s="197"/>
      <c r="D3" s="198"/>
      <c r="E3" s="198"/>
      <c r="F3" s="198"/>
      <c r="G3" s="192"/>
      <c r="H3" s="192"/>
      <c r="I3" s="19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</row>
    <row r="4" spans="1:41" ht="17.399999999999999" x14ac:dyDescent="0.55000000000000004">
      <c r="A4" s="197" t="s">
        <v>153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 t="s">
        <v>152</v>
      </c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7"/>
      <c r="AK4" s="197"/>
      <c r="AL4" s="197"/>
      <c r="AM4" s="197"/>
      <c r="AN4" s="3"/>
    </row>
    <row r="5" spans="1:41" ht="17.399999999999999" x14ac:dyDescent="0.55000000000000004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3"/>
    </row>
    <row r="6" spans="1:41" ht="17.399999999999999" x14ac:dyDescent="0.55000000000000004">
      <c r="A6" s="199" t="s">
        <v>136</v>
      </c>
      <c r="B6" s="199"/>
      <c r="C6" s="199"/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3"/>
    </row>
    <row r="7" spans="1:41" ht="17.399999999999999" x14ac:dyDescent="0.55000000000000004">
      <c r="A7" s="199"/>
      <c r="B7" s="199"/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3"/>
    </row>
    <row r="8" spans="1:41" ht="17.399999999999999" x14ac:dyDescent="0.55000000000000004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3"/>
    </row>
    <row r="9" spans="1:41" ht="17.7" x14ac:dyDescent="0.55000000000000004">
      <c r="A9" s="45" t="s">
        <v>137</v>
      </c>
      <c r="B9" s="45"/>
      <c r="C9" s="45"/>
      <c r="D9" s="45"/>
      <c r="E9" s="45"/>
      <c r="F9" s="45"/>
      <c r="G9" s="45"/>
      <c r="H9" s="45"/>
      <c r="I9" s="175" t="s">
        <v>19</v>
      </c>
      <c r="J9" s="175"/>
      <c r="K9" s="175"/>
      <c r="L9" s="175"/>
      <c r="M9" s="175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C9" s="3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3"/>
    </row>
    <row r="10" spans="1:41" ht="17.7" x14ac:dyDescent="0.55000000000000004">
      <c r="A10" s="193" t="s">
        <v>61</v>
      </c>
      <c r="B10" s="193"/>
      <c r="C10" s="193"/>
      <c r="D10" s="193"/>
      <c r="E10" s="193"/>
      <c r="F10" s="193"/>
      <c r="G10" s="193"/>
      <c r="H10" s="193"/>
      <c r="I10" s="194">
        <v>1</v>
      </c>
      <c r="J10" s="194"/>
      <c r="K10" s="194"/>
      <c r="L10" s="194"/>
      <c r="M10" s="194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C10" s="37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3"/>
    </row>
    <row r="11" spans="1:41" ht="17.7" x14ac:dyDescent="0.55000000000000004">
      <c r="A11" s="195" t="s">
        <v>60</v>
      </c>
      <c r="B11" s="195"/>
      <c r="C11" s="195"/>
      <c r="D11" s="195"/>
      <c r="E11" s="195"/>
      <c r="F11" s="195"/>
      <c r="G11" s="195"/>
      <c r="H11" s="195"/>
      <c r="I11" s="194">
        <v>2</v>
      </c>
      <c r="J11" s="194"/>
      <c r="K11" s="194"/>
      <c r="L11" s="194"/>
      <c r="M11" s="194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C11" s="37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3"/>
    </row>
    <row r="12" spans="1:41" ht="17.7" x14ac:dyDescent="0.55000000000000004">
      <c r="A12" s="196" t="s">
        <v>132</v>
      </c>
      <c r="B12" s="196"/>
      <c r="C12" s="196"/>
      <c r="D12" s="196"/>
      <c r="E12" s="196"/>
      <c r="F12" s="196"/>
      <c r="G12" s="196"/>
      <c r="H12" s="196"/>
      <c r="I12" s="194">
        <v>3</v>
      </c>
      <c r="J12" s="194"/>
      <c r="K12" s="194"/>
      <c r="L12" s="194"/>
      <c r="M12" s="194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37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3"/>
    </row>
    <row r="13" spans="1:41" ht="17.399999999999999" x14ac:dyDescent="0.55000000000000004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3"/>
    </row>
    <row r="14" spans="1:41" ht="17.399999999999999" x14ac:dyDescent="0.55000000000000004">
      <c r="A14" s="191" t="s">
        <v>134</v>
      </c>
      <c r="B14" s="191"/>
      <c r="C14" s="191"/>
      <c r="D14" s="191"/>
      <c r="E14" s="191"/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80" t="s">
        <v>16</v>
      </c>
      <c r="V14" s="180"/>
      <c r="W14" s="180"/>
      <c r="X14" s="203">
        <v>1</v>
      </c>
      <c r="Y14" s="204"/>
      <c r="Z14" s="43"/>
      <c r="AB14" s="1"/>
      <c r="AC14" s="1"/>
      <c r="AD14" s="1"/>
    </row>
    <row r="15" spans="1:41" ht="17.399999999999999" x14ac:dyDescent="0.55000000000000004">
      <c r="C15" s="3"/>
      <c r="D15" s="3"/>
      <c r="E15" s="3"/>
      <c r="F15" s="3"/>
      <c r="G15" s="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O15" s="1" t="s">
        <v>106</v>
      </c>
    </row>
    <row r="16" spans="1:41" ht="17.399999999999999" x14ac:dyDescent="0.55000000000000004">
      <c r="A16" s="191" t="s">
        <v>1</v>
      </c>
      <c r="B16" s="191"/>
      <c r="C16" s="191"/>
      <c r="D16" s="191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  <c r="AB16" s="191"/>
      <c r="AC16" s="191"/>
      <c r="AD16" s="191"/>
      <c r="AE16" s="191"/>
      <c r="AF16" s="191"/>
      <c r="AG16" s="191"/>
      <c r="AH16" s="191"/>
      <c r="AI16" s="191"/>
      <c r="AJ16" s="191"/>
      <c r="AK16" s="191"/>
      <c r="AL16" s="191"/>
      <c r="AM16" s="191"/>
      <c r="AO16" s="1" t="s">
        <v>107</v>
      </c>
    </row>
    <row r="17" spans="1:49" ht="17.399999999999999" x14ac:dyDescent="0.55000000000000004">
      <c r="A17" s="4" t="s">
        <v>9</v>
      </c>
      <c r="B17" s="4"/>
      <c r="C17" s="192" t="s">
        <v>2</v>
      </c>
      <c r="D17" s="192"/>
      <c r="E17" s="192"/>
      <c r="F17" s="192"/>
      <c r="G17" s="192"/>
      <c r="H17" s="192"/>
      <c r="I17" s="192"/>
      <c r="J17" s="192"/>
      <c r="K17" s="192"/>
      <c r="L17" s="192" t="s">
        <v>10</v>
      </c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 t="s">
        <v>11</v>
      </c>
      <c r="AH17" s="192"/>
      <c r="AI17" s="192"/>
      <c r="AJ17" s="192"/>
      <c r="AK17" s="8" t="s">
        <v>12</v>
      </c>
      <c r="AL17" s="8"/>
      <c r="AM17" s="8"/>
      <c r="AO17" s="1" t="s">
        <v>108</v>
      </c>
      <c r="AV17" t="s">
        <v>20</v>
      </c>
    </row>
    <row r="18" spans="1:49" ht="15.3" x14ac:dyDescent="0.55000000000000004">
      <c r="A18" s="9">
        <v>1</v>
      </c>
      <c r="B18" s="9"/>
      <c r="C18" s="189" t="s">
        <v>3</v>
      </c>
      <c r="D18" s="189"/>
      <c r="E18" s="189"/>
      <c r="F18" s="189"/>
      <c r="G18" s="189"/>
      <c r="H18" s="189"/>
      <c r="I18" s="189"/>
      <c r="J18" s="189"/>
      <c r="K18" s="189"/>
      <c r="L18" s="189" t="s">
        <v>106</v>
      </c>
      <c r="M18" s="189"/>
      <c r="N18" s="189"/>
      <c r="O18" s="189"/>
      <c r="P18" s="189"/>
      <c r="Q18" s="189"/>
      <c r="R18" s="189"/>
      <c r="S18" s="189"/>
      <c r="T18" s="189"/>
      <c r="U18" s="189"/>
      <c r="V18" s="189"/>
      <c r="W18" s="189"/>
      <c r="X18" s="189"/>
      <c r="Y18" s="189"/>
      <c r="Z18" s="189"/>
      <c r="AA18" s="189"/>
      <c r="AB18" s="189"/>
      <c r="AC18" s="189"/>
      <c r="AD18" s="189"/>
      <c r="AE18" s="143">
        <v>3</v>
      </c>
      <c r="AF18" s="143"/>
      <c r="AG18" s="187">
        <v>0.16</v>
      </c>
      <c r="AH18" s="187"/>
      <c r="AI18" s="187"/>
      <c r="AJ18" s="187"/>
      <c r="AK18" s="97">
        <f t="shared" ref="AK18:AK23" si="0">AE18*AG18</f>
        <v>0.48</v>
      </c>
      <c r="AL18" s="97"/>
      <c r="AM18" s="97"/>
      <c r="AO18" s="1" t="s">
        <v>109</v>
      </c>
      <c r="AV18" t="s">
        <v>21</v>
      </c>
    </row>
    <row r="19" spans="1:49" ht="30" customHeight="1" x14ac:dyDescent="0.55000000000000004">
      <c r="A19" s="9">
        <v>2</v>
      </c>
      <c r="B19" s="9"/>
      <c r="C19" s="190" t="s">
        <v>4</v>
      </c>
      <c r="D19" s="190"/>
      <c r="E19" s="190"/>
      <c r="F19" s="190"/>
      <c r="G19" s="190"/>
      <c r="H19" s="190"/>
      <c r="I19" s="190"/>
      <c r="J19" s="190"/>
      <c r="K19" s="190"/>
      <c r="L19" s="188" t="s">
        <v>110</v>
      </c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88"/>
      <c r="AB19" s="188"/>
      <c r="AC19" s="188"/>
      <c r="AD19" s="188"/>
      <c r="AE19" s="143">
        <v>3</v>
      </c>
      <c r="AF19" s="143"/>
      <c r="AG19" s="187">
        <v>0.09</v>
      </c>
      <c r="AH19" s="187"/>
      <c r="AI19" s="187"/>
      <c r="AJ19" s="187"/>
      <c r="AK19" s="97">
        <f t="shared" si="0"/>
        <v>0.27</v>
      </c>
      <c r="AL19" s="97"/>
      <c r="AM19" s="97"/>
      <c r="AO19" s="1" t="s">
        <v>110</v>
      </c>
      <c r="AV19" t="s">
        <v>16</v>
      </c>
    </row>
    <row r="20" spans="1:49" ht="15.3" x14ac:dyDescent="0.55000000000000004">
      <c r="A20" s="9">
        <v>3</v>
      </c>
      <c r="B20" s="9"/>
      <c r="C20" s="185" t="s">
        <v>5</v>
      </c>
      <c r="D20" s="185"/>
      <c r="E20" s="185"/>
      <c r="F20" s="185"/>
      <c r="G20" s="185"/>
      <c r="H20" s="185"/>
      <c r="I20" s="185"/>
      <c r="J20" s="185"/>
      <c r="K20" s="185"/>
      <c r="L20" s="169" t="s">
        <v>115</v>
      </c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  <c r="Z20" s="169"/>
      <c r="AA20" s="169"/>
      <c r="AB20" s="169"/>
      <c r="AC20" s="169"/>
      <c r="AD20" s="169"/>
      <c r="AE20" s="143">
        <v>2.33</v>
      </c>
      <c r="AF20" s="143"/>
      <c r="AG20" s="187">
        <v>0.56000000000000005</v>
      </c>
      <c r="AH20" s="187"/>
      <c r="AI20" s="187"/>
      <c r="AJ20" s="187"/>
      <c r="AK20" s="97">
        <f t="shared" si="0"/>
        <v>1.3048000000000002</v>
      </c>
      <c r="AL20" s="97"/>
      <c r="AM20" s="97"/>
      <c r="AO20" s="1" t="s">
        <v>111</v>
      </c>
    </row>
    <row r="21" spans="1:49" ht="15.3" x14ac:dyDescent="0.55000000000000004">
      <c r="A21" s="9">
        <v>4</v>
      </c>
      <c r="B21" s="9"/>
      <c r="C21" s="189" t="s">
        <v>6</v>
      </c>
      <c r="D21" s="189"/>
      <c r="E21" s="189"/>
      <c r="F21" s="189"/>
      <c r="G21" s="189"/>
      <c r="H21" s="189"/>
      <c r="I21" s="189"/>
      <c r="J21" s="189"/>
      <c r="K21" s="189"/>
      <c r="L21" s="169" t="s">
        <v>121</v>
      </c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  <c r="AA21" s="169"/>
      <c r="AB21" s="169"/>
      <c r="AC21" s="169"/>
      <c r="AD21" s="169"/>
      <c r="AE21" s="143">
        <v>1</v>
      </c>
      <c r="AF21" s="143"/>
      <c r="AG21" s="187">
        <v>0.05</v>
      </c>
      <c r="AH21" s="187"/>
      <c r="AI21" s="187"/>
      <c r="AJ21" s="187"/>
      <c r="AK21" s="97">
        <f t="shared" si="0"/>
        <v>0.05</v>
      </c>
      <c r="AL21" s="97"/>
      <c r="AM21" s="97"/>
      <c r="AO21" s="1" t="s">
        <v>112</v>
      </c>
      <c r="AU21">
        <v>1</v>
      </c>
      <c r="AV21">
        <v>1</v>
      </c>
      <c r="AW21">
        <v>2</v>
      </c>
    </row>
    <row r="22" spans="1:49" ht="30.9" customHeight="1" x14ac:dyDescent="0.55000000000000004">
      <c r="A22" s="9">
        <v>5</v>
      </c>
      <c r="B22" s="9"/>
      <c r="C22" s="185" t="s">
        <v>7</v>
      </c>
      <c r="D22" s="185"/>
      <c r="E22" s="185"/>
      <c r="F22" s="185"/>
      <c r="G22" s="185"/>
      <c r="H22" s="185"/>
      <c r="I22" s="185"/>
      <c r="J22" s="185"/>
      <c r="K22" s="185"/>
      <c r="L22" s="186" t="s">
        <v>125</v>
      </c>
      <c r="M22" s="186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6"/>
      <c r="AB22" s="186"/>
      <c r="AC22" s="186"/>
      <c r="AD22" s="186"/>
      <c r="AE22" s="143">
        <v>1</v>
      </c>
      <c r="AF22" s="143"/>
      <c r="AG22" s="187">
        <v>0.06</v>
      </c>
      <c r="AH22" s="187"/>
      <c r="AI22" s="187"/>
      <c r="AJ22" s="187"/>
      <c r="AK22" s="97">
        <f t="shared" si="0"/>
        <v>0.06</v>
      </c>
      <c r="AL22" s="97"/>
      <c r="AM22" s="97"/>
      <c r="AO22" s="1" t="s">
        <v>113</v>
      </c>
      <c r="AU22">
        <v>1.67</v>
      </c>
      <c r="AV22">
        <v>2</v>
      </c>
      <c r="AW22">
        <v>4</v>
      </c>
    </row>
    <row r="23" spans="1:49" ht="33" customHeight="1" x14ac:dyDescent="0.55000000000000004">
      <c r="A23" s="9">
        <v>6</v>
      </c>
      <c r="B23" s="9"/>
      <c r="C23" s="185" t="s">
        <v>58</v>
      </c>
      <c r="D23" s="185"/>
      <c r="E23" s="185"/>
      <c r="F23" s="185"/>
      <c r="G23" s="185"/>
      <c r="H23" s="185"/>
      <c r="I23" s="185"/>
      <c r="J23" s="185"/>
      <c r="K23" s="185"/>
      <c r="L23" s="190" t="s">
        <v>126</v>
      </c>
      <c r="M23" s="190"/>
      <c r="N23" s="190"/>
      <c r="O23" s="190"/>
      <c r="P23" s="190"/>
      <c r="Q23" s="190"/>
      <c r="R23" s="190"/>
      <c r="S23" s="190"/>
      <c r="T23" s="190"/>
      <c r="U23" s="190"/>
      <c r="V23" s="190"/>
      <c r="W23" s="190"/>
      <c r="X23" s="190"/>
      <c r="Y23" s="190"/>
      <c r="Z23" s="190"/>
      <c r="AA23" s="190"/>
      <c r="AB23" s="190"/>
      <c r="AC23" s="190"/>
      <c r="AD23" s="190"/>
      <c r="AE23" s="143">
        <v>3</v>
      </c>
      <c r="AF23" s="143"/>
      <c r="AG23" s="187">
        <v>0.08</v>
      </c>
      <c r="AH23" s="187"/>
      <c r="AI23" s="187"/>
      <c r="AJ23" s="187"/>
      <c r="AK23" s="97">
        <f t="shared" si="0"/>
        <v>0.24</v>
      </c>
      <c r="AL23" s="97"/>
      <c r="AM23" s="97"/>
      <c r="AO23" s="1" t="s">
        <v>114</v>
      </c>
      <c r="AU23">
        <v>2.33</v>
      </c>
      <c r="AV23">
        <v>3</v>
      </c>
      <c r="AW23">
        <v>6</v>
      </c>
    </row>
    <row r="24" spans="1:49" ht="17.399999999999999" x14ac:dyDescent="0.55000000000000004">
      <c r="A24" s="178" t="s">
        <v>15</v>
      </c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179"/>
      <c r="Z24" s="179"/>
      <c r="AA24" s="179"/>
      <c r="AB24" s="179"/>
      <c r="AC24" s="179"/>
      <c r="AD24" s="179"/>
      <c r="AE24" s="179"/>
      <c r="AF24" s="179"/>
      <c r="AG24" s="179"/>
      <c r="AH24" s="179"/>
      <c r="AI24" s="179"/>
      <c r="AJ24" s="179"/>
      <c r="AK24" s="209">
        <f>SUM(AK18:AK23)</f>
        <v>2.4047999999999998</v>
      </c>
      <c r="AL24" s="209"/>
      <c r="AM24" s="209"/>
      <c r="AO24" s="1" t="s">
        <v>115</v>
      </c>
      <c r="AU24" s="13">
        <v>3</v>
      </c>
    </row>
    <row r="25" spans="1:49" ht="15.3" x14ac:dyDescent="0.5500000000000000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B25" s="1"/>
      <c r="AC25" s="1"/>
      <c r="AD25" s="1"/>
      <c r="AO25" s="1" t="s">
        <v>116</v>
      </c>
    </row>
    <row r="26" spans="1:49" ht="15.3" x14ac:dyDescent="0.55000000000000004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B26" s="1"/>
      <c r="AC26" s="1"/>
      <c r="AD26" s="1"/>
      <c r="AO26" s="1" t="s">
        <v>117</v>
      </c>
    </row>
    <row r="27" spans="1:49" ht="19.8" x14ac:dyDescent="0.65">
      <c r="A27" s="181" t="s">
        <v>14</v>
      </c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  <c r="AJ27" s="181"/>
      <c r="AK27" s="181"/>
      <c r="AL27" s="181"/>
      <c r="AM27" s="181"/>
      <c r="AO27" s="1" t="s">
        <v>118</v>
      </c>
    </row>
    <row r="28" spans="1:49" ht="17.7" x14ac:dyDescent="0.55000000000000004">
      <c r="AE28" s="31"/>
      <c r="AO28" s="1" t="s">
        <v>119</v>
      </c>
    </row>
    <row r="29" spans="1:49" ht="15.75" customHeight="1" x14ac:dyDescent="0.75">
      <c r="A29" s="42" t="s">
        <v>138</v>
      </c>
      <c r="B29" s="42"/>
      <c r="C29" s="42" t="s">
        <v>139</v>
      </c>
      <c r="D29" s="182" t="s">
        <v>141</v>
      </c>
      <c r="E29" s="182"/>
      <c r="F29" s="183">
        <f>X14</f>
        <v>1</v>
      </c>
      <c r="G29" s="183"/>
      <c r="H29" s="184" t="s">
        <v>142</v>
      </c>
      <c r="I29" s="184"/>
      <c r="J29" s="182" t="s">
        <v>140</v>
      </c>
      <c r="K29" s="182"/>
      <c r="L29" s="150">
        <f>AK24</f>
        <v>2.4047999999999998</v>
      </c>
      <c r="M29" s="150"/>
      <c r="N29" s="150"/>
      <c r="O29" s="42" t="s">
        <v>139</v>
      </c>
      <c r="P29" s="111">
        <f>F29*L29</f>
        <v>2.4047999999999998</v>
      </c>
      <c r="Q29" s="111"/>
      <c r="R29" s="111"/>
      <c r="AE29" s="37"/>
      <c r="AO29" s="1" t="s">
        <v>120</v>
      </c>
    </row>
    <row r="30" spans="1:49" ht="15.75" customHeight="1" x14ac:dyDescent="0.55000000000000004">
      <c r="A30" s="3"/>
      <c r="B30" s="3"/>
      <c r="C30" s="3"/>
      <c r="D30" s="3"/>
      <c r="E30" s="3"/>
      <c r="F30" s="3"/>
      <c r="G30" s="3"/>
      <c r="H30" s="40"/>
      <c r="I30" s="40"/>
      <c r="J30" s="41"/>
      <c r="AE30" s="37"/>
      <c r="AO30" s="1" t="s">
        <v>121</v>
      </c>
    </row>
    <row r="31" spans="1:49" ht="17.7" x14ac:dyDescent="0.55000000000000004">
      <c r="AE31" s="37"/>
      <c r="AO31" s="1" t="s">
        <v>122</v>
      </c>
    </row>
    <row r="32" spans="1:49" ht="20.399999999999999" x14ac:dyDescent="0.75">
      <c r="A32" s="3" t="s">
        <v>13</v>
      </c>
      <c r="B32" s="3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O32" s="1" t="s">
        <v>123</v>
      </c>
    </row>
    <row r="33" spans="1:59" ht="15.3" x14ac:dyDescent="0.5500000000000000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AO33" s="1" t="s">
        <v>124</v>
      </c>
    </row>
    <row r="34" spans="1:59" ht="17.399999999999999" x14ac:dyDescent="0.55000000000000004">
      <c r="A34" s="174" t="s">
        <v>23</v>
      </c>
      <c r="B34" s="174"/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  <c r="AA34" s="174"/>
      <c r="AB34" s="22"/>
      <c r="AC34" s="22"/>
      <c r="AO34" s="1" t="s">
        <v>125</v>
      </c>
    </row>
    <row r="35" spans="1:59" ht="17.399999999999999" x14ac:dyDescent="0.55000000000000004">
      <c r="A35" s="174" t="s">
        <v>22</v>
      </c>
      <c r="B35" s="174"/>
      <c r="C35" s="174"/>
      <c r="D35" s="174"/>
      <c r="E35" s="174"/>
      <c r="F35" s="174"/>
      <c r="G35" s="174"/>
      <c r="H35" s="175" t="s">
        <v>18</v>
      </c>
      <c r="I35" s="175"/>
      <c r="J35" s="175"/>
      <c r="K35" s="175"/>
      <c r="L35" s="175"/>
      <c r="M35" s="175"/>
      <c r="N35" s="175"/>
      <c r="O35" s="175"/>
      <c r="P35" s="174" t="s">
        <v>24</v>
      </c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38"/>
      <c r="AC35" s="38"/>
      <c r="AO35" s="1" t="s">
        <v>126</v>
      </c>
    </row>
    <row r="36" spans="1:59" ht="17.399999999999999" x14ac:dyDescent="0.55000000000000004">
      <c r="A36" s="169" t="s">
        <v>147</v>
      </c>
      <c r="B36" s="169"/>
      <c r="C36" s="169"/>
      <c r="D36" s="169"/>
      <c r="E36" s="169"/>
      <c r="F36" s="169"/>
      <c r="G36" s="169"/>
      <c r="H36" s="176" t="s">
        <v>61</v>
      </c>
      <c r="I36" s="176"/>
      <c r="J36" s="176"/>
      <c r="K36" s="176"/>
      <c r="L36" s="176"/>
      <c r="M36" s="176"/>
      <c r="N36" s="176"/>
      <c r="O36" s="176"/>
      <c r="P36" s="177" t="s">
        <v>26</v>
      </c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177"/>
      <c r="AB36" s="3"/>
      <c r="AC36" s="3"/>
      <c r="AO36" s="1" t="s">
        <v>127</v>
      </c>
    </row>
    <row r="37" spans="1:59" ht="17.399999999999999" x14ac:dyDescent="0.55000000000000004">
      <c r="A37" s="169" t="s">
        <v>149</v>
      </c>
      <c r="B37" s="169"/>
      <c r="C37" s="169"/>
      <c r="D37" s="169"/>
      <c r="E37" s="169"/>
      <c r="F37" s="169"/>
      <c r="G37" s="169"/>
      <c r="H37" s="170" t="s">
        <v>60</v>
      </c>
      <c r="I37" s="170"/>
      <c r="J37" s="170"/>
      <c r="K37" s="170"/>
      <c r="L37" s="170"/>
      <c r="M37" s="170"/>
      <c r="N37" s="170"/>
      <c r="O37" s="170"/>
      <c r="P37" s="171" t="s">
        <v>28</v>
      </c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1"/>
      <c r="AB37" s="3"/>
      <c r="AC37" s="3"/>
      <c r="AD37" s="1"/>
      <c r="AO37" s="1" t="s">
        <v>128</v>
      </c>
    </row>
    <row r="38" spans="1:59" ht="17.399999999999999" x14ac:dyDescent="0.55000000000000004">
      <c r="A38" s="169" t="s">
        <v>151</v>
      </c>
      <c r="B38" s="169"/>
      <c r="C38" s="169"/>
      <c r="D38" s="169"/>
      <c r="E38" s="169"/>
      <c r="F38" s="169"/>
      <c r="G38" s="169"/>
      <c r="H38" s="172" t="s">
        <v>59</v>
      </c>
      <c r="I38" s="172"/>
      <c r="J38" s="172"/>
      <c r="K38" s="172"/>
      <c r="L38" s="172"/>
      <c r="M38" s="172"/>
      <c r="N38" s="172"/>
      <c r="O38" s="172"/>
      <c r="P38" s="173" t="s">
        <v>29</v>
      </c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3"/>
      <c r="AC38" s="3"/>
      <c r="AD38" s="3"/>
      <c r="AE38" s="3"/>
      <c r="AO38" s="1" t="s">
        <v>129</v>
      </c>
    </row>
    <row r="39" spans="1:59" ht="17.399999999999999" x14ac:dyDescent="0.55000000000000004">
      <c r="AD39" s="38"/>
      <c r="AE39" s="38"/>
      <c r="AF39" s="38"/>
    </row>
    <row r="40" spans="1:59" ht="19.8" x14ac:dyDescent="0.65">
      <c r="A40" s="205" t="s">
        <v>22</v>
      </c>
      <c r="B40" s="206"/>
      <c r="C40" s="206"/>
      <c r="D40" s="206"/>
      <c r="E40" s="206"/>
      <c r="F40" s="206"/>
      <c r="G40" s="207"/>
      <c r="H40" s="92">
        <f>P29</f>
        <v>2.4047999999999998</v>
      </c>
      <c r="I40" s="93"/>
      <c r="J40" s="93"/>
      <c r="K40" s="180" t="s">
        <v>20</v>
      </c>
      <c r="L40" s="180"/>
      <c r="M40" s="180"/>
      <c r="N40" s="180"/>
      <c r="O40" s="180"/>
      <c r="P40" s="180"/>
      <c r="Q40" s="180"/>
      <c r="R40" s="180"/>
      <c r="S40" s="180"/>
      <c r="AD40" s="3"/>
      <c r="AE40" s="3"/>
      <c r="AF40" s="3"/>
    </row>
    <row r="41" spans="1:59" ht="19.8" x14ac:dyDescent="0.65">
      <c r="A41" s="166" t="s">
        <v>70</v>
      </c>
      <c r="B41" s="166"/>
      <c r="C41" s="166"/>
      <c r="D41" s="166"/>
      <c r="E41" s="166"/>
      <c r="F41" s="166"/>
      <c r="G41" s="166"/>
      <c r="H41" s="166"/>
      <c r="I41" s="166"/>
      <c r="J41" s="166"/>
      <c r="K41" s="166"/>
      <c r="L41" s="166"/>
      <c r="M41" s="166"/>
      <c r="N41" s="167" t="s">
        <v>29</v>
      </c>
      <c r="O41" s="167"/>
      <c r="P41" s="167"/>
      <c r="Q41" s="167"/>
      <c r="R41" s="167"/>
      <c r="S41" s="167"/>
      <c r="AD41" s="3"/>
      <c r="AE41" s="3"/>
      <c r="AF41" s="3"/>
    </row>
    <row r="42" spans="1:59" ht="17.7" x14ac:dyDescent="0.6">
      <c r="AD42" s="3"/>
      <c r="AE42" s="3"/>
      <c r="AF42" s="3"/>
      <c r="AO42" s="2" t="s">
        <v>62</v>
      </c>
      <c r="AP42" s="2"/>
      <c r="AQ42" s="2"/>
      <c r="AT42" s="2" t="s">
        <v>62</v>
      </c>
      <c r="AU42" s="2"/>
      <c r="AV42" s="2"/>
    </row>
    <row r="43" spans="1:59" ht="15.3" x14ac:dyDescent="0.55000000000000004"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B43" s="1"/>
      <c r="AC43" s="1"/>
      <c r="AD43" s="1"/>
      <c r="AM43" s="1"/>
      <c r="AO43" s="168" t="s">
        <v>73</v>
      </c>
      <c r="AP43" s="168"/>
      <c r="AQ43" s="168"/>
      <c r="AR43" s="1"/>
      <c r="AS43" s="1"/>
      <c r="AT43" s="168" t="s">
        <v>74</v>
      </c>
      <c r="AU43" s="168"/>
      <c r="AV43" s="168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</row>
    <row r="44" spans="1:59" ht="15.3" x14ac:dyDescent="0.55000000000000004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B44" s="1"/>
      <c r="AC44" s="1"/>
      <c r="AD44" s="1"/>
      <c r="AM44" s="1"/>
      <c r="AO44" s="159" t="s">
        <v>63</v>
      </c>
      <c r="AP44" s="161" t="s">
        <v>64</v>
      </c>
      <c r="AQ44" s="161"/>
      <c r="AR44" s="1"/>
      <c r="AS44" s="1"/>
      <c r="AT44" s="159" t="s">
        <v>63</v>
      </c>
      <c r="AU44" s="161" t="s">
        <v>64</v>
      </c>
      <c r="AV44" s="161"/>
      <c r="AW44" s="1"/>
      <c r="AX44" s="1" t="s">
        <v>26</v>
      </c>
      <c r="AY44" s="1">
        <v>1</v>
      </c>
      <c r="AZ44" s="1"/>
      <c r="BA44" s="1"/>
      <c r="BB44" s="1"/>
      <c r="BC44" s="1"/>
      <c r="BD44" s="1"/>
      <c r="BE44" s="1"/>
      <c r="BF44" s="1"/>
      <c r="BG44" s="1"/>
    </row>
    <row r="45" spans="1:59" ht="17.7" x14ac:dyDescent="0.55000000000000004"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C45" s="41"/>
      <c r="AD45" s="1"/>
      <c r="AM45" s="1"/>
      <c r="AO45" s="160"/>
      <c r="AP45" s="5" t="s">
        <v>65</v>
      </c>
      <c r="AQ45" s="5" t="s">
        <v>66</v>
      </c>
      <c r="AR45" s="1"/>
      <c r="AS45" s="1"/>
      <c r="AT45" s="160"/>
      <c r="AU45" s="5" t="s">
        <v>65</v>
      </c>
      <c r="AV45" s="5" t="s">
        <v>66</v>
      </c>
      <c r="AW45" s="1"/>
      <c r="AX45" t="s">
        <v>28</v>
      </c>
      <c r="AY45" s="1">
        <v>2</v>
      </c>
      <c r="AZ45" s="1"/>
      <c r="BA45" s="1"/>
      <c r="BB45" s="1"/>
      <c r="BC45" s="1"/>
      <c r="BD45" s="1"/>
      <c r="BE45" s="1"/>
      <c r="BF45" s="1"/>
      <c r="BG45" s="1"/>
    </row>
    <row r="46" spans="1:59" ht="17.399999999999999" x14ac:dyDescent="0.55000000000000004">
      <c r="A46" s="162"/>
      <c r="B46" s="162"/>
      <c r="C46" s="162"/>
      <c r="D46" s="162"/>
      <c r="E46" s="162"/>
      <c r="F46" s="162"/>
      <c r="G46" s="162"/>
      <c r="H46" s="3"/>
      <c r="I46" s="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B46" s="1"/>
      <c r="AC46" s="1"/>
      <c r="AD46" s="1"/>
      <c r="AM46" s="1"/>
      <c r="AO46" s="7">
        <v>0.16</v>
      </c>
      <c r="AP46" s="18">
        <f>AO46*1</f>
        <v>0.16</v>
      </c>
      <c r="AQ46" s="5">
        <f>AO46*3</f>
        <v>0.48</v>
      </c>
      <c r="AR46" s="1"/>
      <c r="AS46" s="1"/>
      <c r="AT46" s="7">
        <v>0.16</v>
      </c>
      <c r="AU46" s="18">
        <f>AT46*2</f>
        <v>0.32</v>
      </c>
      <c r="AV46" s="5">
        <f>AT46*6</f>
        <v>0.96</v>
      </c>
      <c r="AW46" s="1"/>
      <c r="AX46" s="1" t="s">
        <v>29</v>
      </c>
      <c r="AY46" s="1">
        <v>3</v>
      </c>
      <c r="AZ46" s="1"/>
      <c r="BA46" s="1"/>
      <c r="BB46" s="1"/>
      <c r="BC46" s="1"/>
      <c r="BD46" s="1"/>
      <c r="BE46" s="1"/>
      <c r="BF46" s="1"/>
      <c r="BG46" s="1"/>
    </row>
    <row r="47" spans="1:59" ht="17.399999999999999" x14ac:dyDescent="0.55000000000000004">
      <c r="A47" s="147"/>
      <c r="B47" s="147"/>
      <c r="C47" s="147"/>
      <c r="D47" s="147"/>
      <c r="E47" s="147"/>
      <c r="F47" s="147"/>
      <c r="G47" s="147"/>
      <c r="H47" s="22"/>
      <c r="I47" s="3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B47" s="1"/>
      <c r="AC47" s="1"/>
      <c r="AD47" s="1"/>
      <c r="AM47" s="1"/>
      <c r="AO47" s="7">
        <v>0.09</v>
      </c>
      <c r="AP47" s="18">
        <f t="shared" ref="AP47:AP51" si="1">AO47*1</f>
        <v>0.09</v>
      </c>
      <c r="AQ47" s="5">
        <f t="shared" ref="AQ47:AQ51" si="2">AO47*3</f>
        <v>0.27</v>
      </c>
      <c r="AR47" s="1"/>
      <c r="AS47" s="1"/>
      <c r="AT47" s="7">
        <v>0.09</v>
      </c>
      <c r="AU47" s="18">
        <f t="shared" ref="AU47:AU51" si="3">AT47*2</f>
        <v>0.18</v>
      </c>
      <c r="AV47" s="5">
        <f t="shared" ref="AV47:AV51" si="4">AT47*6</f>
        <v>0.54</v>
      </c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</row>
    <row r="48" spans="1:59" ht="17.399999999999999" x14ac:dyDescent="0.55000000000000004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1"/>
      <c r="AB48" s="1"/>
      <c r="AC48" s="1"/>
      <c r="AD48" s="1"/>
      <c r="AM48" s="1"/>
      <c r="AO48" s="7">
        <v>0.56000000000000005</v>
      </c>
      <c r="AP48" s="18">
        <f t="shared" si="1"/>
        <v>0.56000000000000005</v>
      </c>
      <c r="AQ48" s="5">
        <f t="shared" si="2"/>
        <v>1.6800000000000002</v>
      </c>
      <c r="AR48" s="1"/>
      <c r="AS48" s="1"/>
      <c r="AT48" s="7">
        <v>0.56000000000000005</v>
      </c>
      <c r="AU48" s="18">
        <f t="shared" si="3"/>
        <v>1.1200000000000001</v>
      </c>
      <c r="AV48" s="5">
        <f t="shared" si="4"/>
        <v>3.3600000000000003</v>
      </c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</row>
    <row r="49" spans="1:59" ht="15.3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M49" s="1"/>
      <c r="AO49" s="7">
        <v>0.05</v>
      </c>
      <c r="AP49" s="18">
        <f t="shared" si="1"/>
        <v>0.05</v>
      </c>
      <c r="AQ49" s="5">
        <f t="shared" si="2"/>
        <v>0.15000000000000002</v>
      </c>
      <c r="AR49" s="1"/>
      <c r="AS49" s="1"/>
      <c r="AT49" s="7">
        <v>0.05</v>
      </c>
      <c r="AU49" s="18">
        <f t="shared" si="3"/>
        <v>0.1</v>
      </c>
      <c r="AV49" s="5">
        <f t="shared" si="4"/>
        <v>0.30000000000000004</v>
      </c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</row>
    <row r="50" spans="1:59" ht="17.7" x14ac:dyDescent="0.55000000000000004">
      <c r="AF50" s="31"/>
      <c r="AM50" s="1"/>
      <c r="AO50" s="7">
        <v>0.06</v>
      </c>
      <c r="AP50" s="18">
        <f t="shared" si="1"/>
        <v>0.06</v>
      </c>
      <c r="AQ50" s="5">
        <f t="shared" si="2"/>
        <v>0.18</v>
      </c>
      <c r="AR50" s="1"/>
      <c r="AS50" s="1"/>
      <c r="AT50" s="7">
        <v>0.06</v>
      </c>
      <c r="AU50" s="18">
        <f t="shared" si="3"/>
        <v>0.12</v>
      </c>
      <c r="AV50" s="5">
        <f t="shared" si="4"/>
        <v>0.36</v>
      </c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</row>
    <row r="51" spans="1:59" ht="17.399999999999999" x14ac:dyDescent="0.55000000000000004"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1"/>
      <c r="AO51" s="7">
        <v>0.08</v>
      </c>
      <c r="AP51" s="18">
        <f t="shared" si="1"/>
        <v>0.08</v>
      </c>
      <c r="AQ51" s="5">
        <f t="shared" si="2"/>
        <v>0.24</v>
      </c>
      <c r="AR51" s="1"/>
      <c r="AS51" s="1"/>
      <c r="AT51" s="7">
        <v>0.08</v>
      </c>
      <c r="AU51" s="18">
        <f t="shared" si="3"/>
        <v>0.16</v>
      </c>
      <c r="AV51" s="5">
        <f t="shared" si="4"/>
        <v>0.48</v>
      </c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</row>
    <row r="52" spans="1:59" ht="17.7" x14ac:dyDescent="0.6">
      <c r="AF52" s="36"/>
      <c r="AM52" s="1"/>
      <c r="AO52" s="32">
        <v>1</v>
      </c>
      <c r="AP52" s="30">
        <f>SUM(AP46:AP51)</f>
        <v>1.0000000000000002</v>
      </c>
      <c r="AQ52" s="30">
        <f>SUM(AQ46:AQ51)</f>
        <v>3</v>
      </c>
      <c r="AR52" s="1"/>
      <c r="AS52" s="1"/>
      <c r="AT52" s="12" t="s">
        <v>55</v>
      </c>
      <c r="AU52" s="5">
        <f>SUM(AU46:AU51)</f>
        <v>2.0000000000000004</v>
      </c>
      <c r="AV52" s="5">
        <f>SUM(AV46:AV51)</f>
        <v>6</v>
      </c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</row>
    <row r="53" spans="1:59" ht="17.399999999999999" x14ac:dyDescent="0.55000000000000004">
      <c r="AF53" s="36"/>
      <c r="AM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</row>
    <row r="54" spans="1:59" ht="15.3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56"/>
      <c r="AC54" s="156"/>
      <c r="AD54" s="1"/>
      <c r="AM54" s="1"/>
      <c r="AO54" s="1" t="s">
        <v>55</v>
      </c>
      <c r="AP54" s="10">
        <v>1</v>
      </c>
      <c r="AQ54" s="10">
        <v>9</v>
      </c>
      <c r="AR54" s="1"/>
      <c r="AS54" s="1"/>
      <c r="AT54" s="1" t="s">
        <v>67</v>
      </c>
      <c r="AU54" s="1">
        <f>AV52-AU52</f>
        <v>3.9999999999999996</v>
      </c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</row>
    <row r="55" spans="1:59" ht="17.7" x14ac:dyDescent="0.55000000000000004">
      <c r="A55" s="157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1"/>
      <c r="AB55" s="158"/>
      <c r="AC55" s="158"/>
      <c r="AD55" s="158"/>
      <c r="AE55" s="158"/>
      <c r="AF55" s="158"/>
      <c r="AG55" s="31"/>
      <c r="AH55" s="31"/>
      <c r="AI55" s="31"/>
      <c r="AJ55" s="31"/>
      <c r="AK55" s="31"/>
      <c r="AL55" s="31"/>
      <c r="AM55" s="1"/>
      <c r="AO55" s="1" t="s">
        <v>67</v>
      </c>
      <c r="AP55" s="1">
        <v>8</v>
      </c>
      <c r="AQ55" s="1"/>
      <c r="AR55" s="1"/>
      <c r="AS55" s="1"/>
      <c r="AT55" s="1" t="s">
        <v>68</v>
      </c>
      <c r="AU55" s="1">
        <v>3</v>
      </c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</row>
    <row r="56" spans="1:59" ht="17.7" x14ac:dyDescent="0.6">
      <c r="A56" s="146"/>
      <c r="B56" s="146"/>
      <c r="C56" s="146"/>
      <c r="D56" s="146"/>
      <c r="E56" s="146"/>
      <c r="F56" s="146"/>
      <c r="G56" s="146"/>
      <c r="H56" s="147"/>
      <c r="I56" s="147"/>
      <c r="J56" s="147"/>
      <c r="K56" s="147"/>
      <c r="L56" s="147"/>
      <c r="M56" s="147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1"/>
      <c r="AB56" s="148"/>
      <c r="AC56" s="148"/>
      <c r="AD56" s="148"/>
      <c r="AE56" s="148"/>
      <c r="AF56" s="148"/>
      <c r="AG56" s="149"/>
      <c r="AH56" s="149"/>
      <c r="AI56" s="35"/>
      <c r="AJ56" s="35"/>
      <c r="AK56" s="35"/>
      <c r="AL56" s="35"/>
      <c r="AM56" s="1"/>
      <c r="AO56" s="1" t="s">
        <v>68</v>
      </c>
      <c r="AP56" s="1">
        <v>3</v>
      </c>
      <c r="AQ56" s="1"/>
      <c r="AR56" s="1"/>
      <c r="AS56" s="1"/>
      <c r="AT56" s="1" t="s">
        <v>69</v>
      </c>
      <c r="AU56" s="19">
        <f>AU54/AU55</f>
        <v>1.3333333333333333</v>
      </c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</row>
    <row r="57" spans="1:59" ht="17.7" x14ac:dyDescent="0.6">
      <c r="A57" s="146"/>
      <c r="B57" s="146"/>
      <c r="C57" s="146"/>
      <c r="D57" s="146"/>
      <c r="E57" s="146"/>
      <c r="F57" s="146"/>
      <c r="G57" s="146"/>
      <c r="H57" s="147"/>
      <c r="I57" s="147"/>
      <c r="J57" s="147"/>
      <c r="K57" s="147"/>
      <c r="L57" s="147"/>
      <c r="M57" s="147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1"/>
      <c r="AB57" s="148"/>
      <c r="AC57" s="148"/>
      <c r="AD57" s="148"/>
      <c r="AE57" s="148"/>
      <c r="AF57" s="148"/>
      <c r="AG57" s="149"/>
      <c r="AH57" s="149"/>
      <c r="AI57" s="35"/>
      <c r="AJ57" s="35"/>
      <c r="AK57" s="35"/>
      <c r="AL57" s="35"/>
      <c r="AM57" s="1"/>
      <c r="AO57" s="1" t="s">
        <v>69</v>
      </c>
      <c r="AP57" s="19">
        <f>AP55/AP56</f>
        <v>2.6666666666666665</v>
      </c>
      <c r="AQ57" s="1"/>
      <c r="AR57" s="1"/>
      <c r="AS57" s="1"/>
      <c r="AT57" s="145" t="s">
        <v>70</v>
      </c>
      <c r="AU57" s="145"/>
      <c r="AV57" s="145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</row>
    <row r="58" spans="1:59" ht="17.7" x14ac:dyDescent="0.6">
      <c r="A58" s="146"/>
      <c r="B58" s="146"/>
      <c r="C58" s="146"/>
      <c r="D58" s="146"/>
      <c r="E58" s="146"/>
      <c r="F58" s="146"/>
      <c r="G58" s="146"/>
      <c r="H58" s="147"/>
      <c r="I58" s="147"/>
      <c r="J58" s="147"/>
      <c r="K58" s="147"/>
      <c r="L58" s="147"/>
      <c r="M58" s="147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1"/>
      <c r="AB58" s="148"/>
      <c r="AC58" s="148"/>
      <c r="AD58" s="148"/>
      <c r="AE58" s="148"/>
      <c r="AF58" s="148"/>
      <c r="AG58" s="149"/>
      <c r="AH58" s="149"/>
      <c r="AI58" s="35"/>
      <c r="AJ58" s="35"/>
      <c r="AK58" s="35"/>
      <c r="AL58" s="35"/>
      <c r="AM58" s="1"/>
      <c r="AO58" s="29" t="s">
        <v>70</v>
      </c>
      <c r="AP58" s="29"/>
      <c r="AQ58" s="29"/>
      <c r="AR58" s="1"/>
      <c r="AS58" s="1"/>
      <c r="AT58" s="1"/>
      <c r="AU58" s="1">
        <v>2</v>
      </c>
      <c r="AV58" s="19">
        <f>AU58+AU56</f>
        <v>3.333333333333333</v>
      </c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</row>
    <row r="59" spans="1:59" ht="15.3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M59" s="1"/>
      <c r="AO59" s="1"/>
      <c r="AP59" s="1">
        <v>1</v>
      </c>
      <c r="AQ59" s="19">
        <f>AP59+AP57</f>
        <v>3.6666666666666665</v>
      </c>
      <c r="AR59" s="1"/>
      <c r="AS59" s="1"/>
      <c r="AT59" s="1"/>
      <c r="AU59" s="1">
        <v>3.4</v>
      </c>
      <c r="AV59" s="19">
        <f>AU59+AU56</f>
        <v>4.7333333333333334</v>
      </c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</row>
    <row r="60" spans="1:59" ht="15.3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M60" s="1"/>
      <c r="AO60" s="1"/>
      <c r="AP60" s="33" t="s">
        <v>130</v>
      </c>
      <c r="AQ60" s="19">
        <v>6.4</v>
      </c>
      <c r="AR60" s="1"/>
      <c r="AS60" s="1"/>
      <c r="AT60" s="1"/>
      <c r="AU60" s="1">
        <v>4.8</v>
      </c>
      <c r="AV60" s="1">
        <v>6</v>
      </c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</row>
    <row r="61" spans="1:59" ht="15.3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M61" s="1"/>
      <c r="AO61" s="1"/>
      <c r="AP61" s="33" t="s">
        <v>131</v>
      </c>
      <c r="AQ61" s="1">
        <v>3</v>
      </c>
    </row>
    <row r="62" spans="1:59" ht="15.3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M62" s="1"/>
    </row>
    <row r="63" spans="1:59" ht="15.3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M63" s="1"/>
    </row>
    <row r="64" spans="1:59" ht="15.3" x14ac:dyDescent="0.5500000000000000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M64" s="1"/>
    </row>
    <row r="65" spans="1:30" ht="15.3" x14ac:dyDescent="0.5500000000000000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5.3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5.3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5.3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5.3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5.3" x14ac:dyDescent="0.5500000000000000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5.3" x14ac:dyDescent="0.5500000000000000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5.3" x14ac:dyDescent="0.5500000000000000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5.3" x14ac:dyDescent="0.5500000000000000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5.3" x14ac:dyDescent="0.5500000000000000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5.3" x14ac:dyDescent="0.5500000000000000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5.3" x14ac:dyDescent="0.5500000000000000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5.3" x14ac:dyDescent="0.5500000000000000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5.3" x14ac:dyDescent="0.5500000000000000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5.3" x14ac:dyDescent="0.5500000000000000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5.3" x14ac:dyDescent="0.5500000000000000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5.3" x14ac:dyDescent="0.5500000000000000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5.3" x14ac:dyDescent="0.5500000000000000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5.3" x14ac:dyDescent="0.5500000000000000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5.3" x14ac:dyDescent="0.5500000000000000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5.3" x14ac:dyDescent="0.5500000000000000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5.3" x14ac:dyDescent="0.5500000000000000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5.3" x14ac:dyDescent="0.5500000000000000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5.3" x14ac:dyDescent="0.5500000000000000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5.3" x14ac:dyDescent="0.5500000000000000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5.3" x14ac:dyDescent="0.5500000000000000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5.3" x14ac:dyDescent="0.5500000000000000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5.3" x14ac:dyDescent="0.5500000000000000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5.3" x14ac:dyDescent="0.5500000000000000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5.3" x14ac:dyDescent="0.5500000000000000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5.3" x14ac:dyDescent="0.5500000000000000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5.3" x14ac:dyDescent="0.5500000000000000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5.3" x14ac:dyDescent="0.5500000000000000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5.3" x14ac:dyDescent="0.5500000000000000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5.3" x14ac:dyDescent="0.5500000000000000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5.3" x14ac:dyDescent="0.5500000000000000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5.3" x14ac:dyDescent="0.5500000000000000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5.3" x14ac:dyDescent="0.5500000000000000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5.3" x14ac:dyDescent="0.5500000000000000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5.3" x14ac:dyDescent="0.550000000000000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5.3" x14ac:dyDescent="0.5500000000000000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5.3" x14ac:dyDescent="0.5500000000000000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5.3" x14ac:dyDescent="0.5500000000000000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5.3" x14ac:dyDescent="0.5500000000000000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5.3" x14ac:dyDescent="0.5500000000000000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5.3" x14ac:dyDescent="0.5500000000000000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5.3" x14ac:dyDescent="0.5500000000000000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5.3" x14ac:dyDescent="0.5500000000000000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5.3" x14ac:dyDescent="0.5500000000000000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5.3" x14ac:dyDescent="0.5500000000000000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</sheetData>
  <mergeCells count="104">
    <mergeCell ref="A1:AM1"/>
    <mergeCell ref="A3:C3"/>
    <mergeCell ref="D3:I3"/>
    <mergeCell ref="A4:M4"/>
    <mergeCell ref="N4:AM4"/>
    <mergeCell ref="A6:AM7"/>
    <mergeCell ref="A14:T14"/>
    <mergeCell ref="U14:W14"/>
    <mergeCell ref="X14:Y14"/>
    <mergeCell ref="A16:AM16"/>
    <mergeCell ref="C17:K17"/>
    <mergeCell ref="L17:AF17"/>
    <mergeCell ref="AG17:AJ17"/>
    <mergeCell ref="I9:M9"/>
    <mergeCell ref="A10:H10"/>
    <mergeCell ref="I10:M10"/>
    <mergeCell ref="A11:H11"/>
    <mergeCell ref="I11:M11"/>
    <mergeCell ref="A12:H12"/>
    <mergeCell ref="I12:M12"/>
    <mergeCell ref="C18:K18"/>
    <mergeCell ref="L18:AD18"/>
    <mergeCell ref="AE18:AF18"/>
    <mergeCell ref="AG18:AJ18"/>
    <mergeCell ref="AK18:AM18"/>
    <mergeCell ref="C19:K19"/>
    <mergeCell ref="L19:AD19"/>
    <mergeCell ref="AE19:AF19"/>
    <mergeCell ref="AG19:AJ19"/>
    <mergeCell ref="AK19:AM19"/>
    <mergeCell ref="C20:K20"/>
    <mergeCell ref="L20:AD20"/>
    <mergeCell ref="AE20:AF20"/>
    <mergeCell ref="AG20:AJ20"/>
    <mergeCell ref="AK20:AM20"/>
    <mergeCell ref="C21:K21"/>
    <mergeCell ref="L21:AD21"/>
    <mergeCell ref="AE21:AF21"/>
    <mergeCell ref="AG21:AJ21"/>
    <mergeCell ref="AK21:AM21"/>
    <mergeCell ref="C22:K22"/>
    <mergeCell ref="L22:AD22"/>
    <mergeCell ref="AE22:AF22"/>
    <mergeCell ref="AG22:AJ22"/>
    <mergeCell ref="AK22:AM22"/>
    <mergeCell ref="C23:K23"/>
    <mergeCell ref="L23:AD23"/>
    <mergeCell ref="AE23:AF23"/>
    <mergeCell ref="AG23:AJ23"/>
    <mergeCell ref="AK23:AM23"/>
    <mergeCell ref="A34:AA34"/>
    <mergeCell ref="A35:G35"/>
    <mergeCell ref="H35:O35"/>
    <mergeCell ref="P35:AA35"/>
    <mergeCell ref="A36:G36"/>
    <mergeCell ref="H36:O36"/>
    <mergeCell ref="P36:AA36"/>
    <mergeCell ref="A24:AJ24"/>
    <mergeCell ref="AK24:AM24"/>
    <mergeCell ref="A27:AM27"/>
    <mergeCell ref="D29:E29"/>
    <mergeCell ref="F29:G29"/>
    <mergeCell ref="H29:I29"/>
    <mergeCell ref="J29:K29"/>
    <mergeCell ref="L29:N29"/>
    <mergeCell ref="P29:R29"/>
    <mergeCell ref="A40:G40"/>
    <mergeCell ref="H40:J40"/>
    <mergeCell ref="K40:S40"/>
    <mergeCell ref="A41:M41"/>
    <mergeCell ref="N41:S41"/>
    <mergeCell ref="AO43:AQ43"/>
    <mergeCell ref="A37:G37"/>
    <mergeCell ref="H37:O37"/>
    <mergeCell ref="P37:AA37"/>
    <mergeCell ref="A38:G38"/>
    <mergeCell ref="H38:O38"/>
    <mergeCell ref="P38:AA38"/>
    <mergeCell ref="A47:G47"/>
    <mergeCell ref="A48:I48"/>
    <mergeCell ref="J48:L48"/>
    <mergeCell ref="AB54:AC54"/>
    <mergeCell ref="A55:G55"/>
    <mergeCell ref="H55:M55"/>
    <mergeCell ref="AB55:AF55"/>
    <mergeCell ref="AT43:AV43"/>
    <mergeCell ref="AO44:AO45"/>
    <mergeCell ref="AP44:AQ44"/>
    <mergeCell ref="AT44:AT45"/>
    <mergeCell ref="AU44:AV44"/>
    <mergeCell ref="A46:G46"/>
    <mergeCell ref="AT57:AV57"/>
    <mergeCell ref="A58:G58"/>
    <mergeCell ref="H58:M58"/>
    <mergeCell ref="AB58:AF58"/>
    <mergeCell ref="AG58:AH58"/>
    <mergeCell ref="A56:G56"/>
    <mergeCell ref="H56:M56"/>
    <mergeCell ref="AB56:AF56"/>
    <mergeCell ref="AG56:AH56"/>
    <mergeCell ref="A57:G57"/>
    <mergeCell ref="H57:M57"/>
    <mergeCell ref="AB57:AF57"/>
    <mergeCell ref="AG57:AH57"/>
  </mergeCells>
  <dataValidations count="12">
    <dataValidation type="list" allowBlank="1" showInputMessage="1" showErrorMessage="1" sqref="L23" xr:uid="{E852F2FB-0A28-43DE-9B66-CBA888F0E570}">
      <formula1>$AO$35:$AO$38</formula1>
    </dataValidation>
    <dataValidation type="list" allowBlank="1" showInputMessage="1" showErrorMessage="1" sqref="L22" xr:uid="{276A5C1B-D2A3-4ED0-8A04-9603BC745E41}">
      <formula1>$AO$31:$AO$34</formula1>
    </dataValidation>
    <dataValidation type="list" allowBlank="1" showInputMessage="1" showErrorMessage="1" sqref="L21" xr:uid="{0B3A2F46-BDB4-4AD5-876C-8953A88C55AB}">
      <formula1>$AO$27:$AO$30</formula1>
    </dataValidation>
    <dataValidation type="list" allowBlank="1" showInputMessage="1" showErrorMessage="1" sqref="L20" xr:uid="{2F671337-1D2D-40E5-8535-C6668D371E7E}">
      <formula1>$AO$23:$AO$26</formula1>
    </dataValidation>
    <dataValidation type="list" allowBlank="1" showInputMessage="1" showErrorMessage="1" sqref="L19" xr:uid="{573DC928-7E06-4E06-AFFB-CE207FAA46AB}">
      <formula1>$AO$19:$AO$22</formula1>
    </dataValidation>
    <dataValidation type="list" allowBlank="1" showInputMessage="1" showErrorMessage="1" sqref="L18" xr:uid="{BC1E065F-E738-4FCC-946A-B370FD658735}">
      <formula1>$AO$15:$AO$18</formula1>
    </dataValidation>
    <dataValidation type="list" allowBlank="1" showInputMessage="1" showErrorMessage="1" sqref="AE18:AE23" xr:uid="{77E7117E-C3D3-4286-AE82-8C5AE87A31A1}">
      <formula1>$AU$21:$AU$24</formula1>
    </dataValidation>
    <dataValidation type="list" allowBlank="1" showInputMessage="1" showErrorMessage="1" sqref="J47" xr:uid="{3282D06B-3A02-4E8C-9CB2-0C6801AE0EB4}">
      <formula1>$AW$21:$AW$23</formula1>
    </dataValidation>
    <dataValidation type="list" allowBlank="1" showInputMessage="1" showErrorMessage="1" sqref="H46 X14:Y14" xr:uid="{FA42260B-3593-4645-A9EB-D53B7BF765BB}">
      <formula1>$AV$21:$AV$23</formula1>
    </dataValidation>
    <dataValidation type="list" allowBlank="1" showInputMessage="1" showErrorMessage="1" sqref="J48 M48:Z48 N41" xr:uid="{EBDBCF2C-F3FB-45C3-9AA4-AB62DFB2D44F}">
      <formula1>$AX$44:$AX$46</formula1>
    </dataValidation>
    <dataValidation type="list" allowBlank="1" showInputMessage="1" showErrorMessage="1" sqref="J30" xr:uid="{26C58BC0-EE37-4571-B95A-4F2E09B5B690}">
      <formula1>$AY$44:$AY$46</formula1>
    </dataValidation>
    <dataValidation type="list" allowBlank="1" showInputMessage="1" showErrorMessage="1" sqref="U14 K40" xr:uid="{6847C13B-C7D9-432A-9A7D-B6AD4F5579B5}">
      <formula1>$AV$17:$AV$19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1C616-3882-4A68-A2E7-F3E6E44E43B0}">
  <dimension ref="A1:AB103"/>
  <sheetViews>
    <sheetView topLeftCell="A10" workbookViewId="0">
      <selection activeCell="X37" sqref="X37:X39"/>
    </sheetView>
  </sheetViews>
  <sheetFormatPr baseColWidth="10" defaultColWidth="11.41796875" defaultRowHeight="14.4" x14ac:dyDescent="0.55000000000000004"/>
  <cols>
    <col min="1" max="20" width="4.68359375" customWidth="1"/>
  </cols>
  <sheetData>
    <row r="1" spans="1:28" ht="17.399999999999999" x14ac:dyDescent="0.55000000000000004">
      <c r="A1" s="3" t="s">
        <v>0</v>
      </c>
      <c r="B1" s="3"/>
      <c r="C1" s="3"/>
      <c r="D1" s="3"/>
      <c r="E1" s="3"/>
      <c r="F1" s="3"/>
      <c r="G1" s="3"/>
      <c r="H1" s="1"/>
      <c r="I1" s="1"/>
      <c r="J1" s="1"/>
      <c r="K1" s="1"/>
      <c r="L1" s="1"/>
      <c r="M1" s="1"/>
      <c r="N1" s="1"/>
    </row>
    <row r="2" spans="1:28" ht="15.3" x14ac:dyDescent="0.5500000000000000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28" ht="15.3" x14ac:dyDescent="0.5500000000000000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28" ht="17.399999999999999" x14ac:dyDescent="0.55000000000000004">
      <c r="A4" s="3" t="s">
        <v>1</v>
      </c>
      <c r="B4" s="3"/>
      <c r="C4" s="3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U4" s="1" t="s">
        <v>30</v>
      </c>
    </row>
    <row r="5" spans="1:28" ht="15.3" x14ac:dyDescent="0.55000000000000004">
      <c r="A5" s="1"/>
      <c r="B5" s="1"/>
      <c r="C5" s="1"/>
      <c r="D5" s="1"/>
      <c r="E5" s="1"/>
      <c r="F5" s="1"/>
      <c r="G5" s="1"/>
      <c r="H5" s="1"/>
      <c r="I5" s="1"/>
      <c r="J5" s="1"/>
      <c r="L5" s="1"/>
      <c r="M5" s="1"/>
      <c r="N5" s="1"/>
      <c r="U5" s="1" t="s">
        <v>31</v>
      </c>
    </row>
    <row r="6" spans="1:28" ht="17.399999999999999" x14ac:dyDescent="0.55000000000000004">
      <c r="A6" s="4" t="s">
        <v>9</v>
      </c>
      <c r="B6" s="192" t="s">
        <v>2</v>
      </c>
      <c r="C6" s="192"/>
      <c r="D6" s="192"/>
      <c r="E6" s="192"/>
      <c r="F6" s="192"/>
      <c r="G6" s="192"/>
      <c r="H6" s="192"/>
      <c r="I6" s="192" t="s">
        <v>10</v>
      </c>
      <c r="J6" s="192"/>
      <c r="K6" s="192"/>
      <c r="L6" s="192"/>
      <c r="M6" s="192"/>
      <c r="N6" s="192"/>
      <c r="O6" s="192"/>
      <c r="P6" s="192" t="s">
        <v>11</v>
      </c>
      <c r="Q6" s="192"/>
      <c r="R6" s="192" t="s">
        <v>12</v>
      </c>
      <c r="S6" s="192"/>
      <c r="U6" s="1" t="s">
        <v>32</v>
      </c>
      <c r="AB6" t="s">
        <v>20</v>
      </c>
    </row>
    <row r="7" spans="1:28" ht="15.3" x14ac:dyDescent="0.55000000000000004">
      <c r="A7" s="5">
        <v>1</v>
      </c>
      <c r="B7" s="189" t="s">
        <v>3</v>
      </c>
      <c r="C7" s="189"/>
      <c r="D7" s="189"/>
      <c r="E7" s="189"/>
      <c r="F7" s="189"/>
      <c r="G7" s="189"/>
      <c r="H7" s="189"/>
      <c r="I7" s="189" t="s">
        <v>30</v>
      </c>
      <c r="J7" s="189"/>
      <c r="K7" s="189"/>
      <c r="L7" s="189"/>
      <c r="M7" s="189"/>
      <c r="N7" s="189"/>
      <c r="O7" s="5">
        <v>8</v>
      </c>
      <c r="P7" s="210">
        <v>0.16</v>
      </c>
      <c r="Q7" s="210"/>
      <c r="R7" s="161">
        <f t="shared" ref="R7:R12" si="0">O7*P7</f>
        <v>1.28</v>
      </c>
      <c r="S7" s="161"/>
      <c r="U7" s="1" t="s">
        <v>33</v>
      </c>
      <c r="AB7" t="s">
        <v>21</v>
      </c>
    </row>
    <row r="8" spans="1:28" ht="15.3" x14ac:dyDescent="0.55000000000000004">
      <c r="A8" s="5">
        <v>2</v>
      </c>
      <c r="B8" s="189" t="s">
        <v>4</v>
      </c>
      <c r="C8" s="189"/>
      <c r="D8" s="189"/>
      <c r="E8" s="189"/>
      <c r="F8" s="189"/>
      <c r="G8" s="189"/>
      <c r="H8" s="189"/>
      <c r="I8" s="169" t="s">
        <v>37</v>
      </c>
      <c r="J8" s="169"/>
      <c r="K8" s="169"/>
      <c r="L8" s="169"/>
      <c r="M8" s="169"/>
      <c r="N8" s="169"/>
      <c r="O8" s="5">
        <v>2</v>
      </c>
      <c r="P8" s="210">
        <v>0.09</v>
      </c>
      <c r="Q8" s="210"/>
      <c r="R8" s="161">
        <f t="shared" si="0"/>
        <v>0.18</v>
      </c>
      <c r="S8" s="161"/>
      <c r="U8" s="1" t="s">
        <v>34</v>
      </c>
      <c r="AB8" t="s">
        <v>16</v>
      </c>
    </row>
    <row r="9" spans="1:28" ht="15.3" x14ac:dyDescent="0.55000000000000004">
      <c r="A9" s="5">
        <v>3</v>
      </c>
      <c r="B9" s="189" t="s">
        <v>5</v>
      </c>
      <c r="C9" s="189"/>
      <c r="D9" s="189"/>
      <c r="E9" s="189"/>
      <c r="F9" s="189"/>
      <c r="G9" s="189"/>
      <c r="H9" s="189"/>
      <c r="I9" s="169" t="s">
        <v>40</v>
      </c>
      <c r="J9" s="169"/>
      <c r="K9" s="169"/>
      <c r="L9" s="169"/>
      <c r="M9" s="169"/>
      <c r="N9" s="169"/>
      <c r="O9" s="5">
        <v>2</v>
      </c>
      <c r="P9" s="210">
        <v>0.56000000000000005</v>
      </c>
      <c r="Q9" s="210"/>
      <c r="R9" s="161">
        <f t="shared" si="0"/>
        <v>1.1200000000000001</v>
      </c>
      <c r="S9" s="161"/>
      <c r="U9" s="1" t="s">
        <v>35</v>
      </c>
    </row>
    <row r="10" spans="1:28" ht="15.3" x14ac:dyDescent="0.55000000000000004">
      <c r="A10" s="5">
        <v>4</v>
      </c>
      <c r="B10" s="189" t="s">
        <v>6</v>
      </c>
      <c r="C10" s="189"/>
      <c r="D10" s="189"/>
      <c r="E10" s="189"/>
      <c r="F10" s="189"/>
      <c r="G10" s="189"/>
      <c r="H10" s="189"/>
      <c r="I10" s="169" t="s">
        <v>44</v>
      </c>
      <c r="J10" s="169"/>
      <c r="K10" s="169"/>
      <c r="L10" s="169"/>
      <c r="M10" s="169"/>
      <c r="N10" s="169"/>
      <c r="O10" s="5">
        <v>2</v>
      </c>
      <c r="P10" s="210">
        <v>0.05</v>
      </c>
      <c r="Q10" s="210"/>
      <c r="R10" s="161">
        <f t="shared" si="0"/>
        <v>0.1</v>
      </c>
      <c r="S10" s="161"/>
      <c r="U10" s="1" t="s">
        <v>36</v>
      </c>
      <c r="AB10">
        <v>1</v>
      </c>
    </row>
    <row r="11" spans="1:28" ht="15.3" x14ac:dyDescent="0.55000000000000004">
      <c r="A11" s="5">
        <v>5</v>
      </c>
      <c r="B11" s="189" t="s">
        <v>7</v>
      </c>
      <c r="C11" s="189"/>
      <c r="D11" s="189"/>
      <c r="E11" s="189"/>
      <c r="F11" s="189"/>
      <c r="G11" s="189"/>
      <c r="H11" s="189"/>
      <c r="I11" s="169" t="s">
        <v>48</v>
      </c>
      <c r="J11" s="169"/>
      <c r="K11" s="169"/>
      <c r="L11" s="169"/>
      <c r="M11" s="169"/>
      <c r="N11" s="169"/>
      <c r="O11" s="5">
        <v>2</v>
      </c>
      <c r="P11" s="210">
        <v>0.06</v>
      </c>
      <c r="Q11" s="210"/>
      <c r="R11" s="161">
        <f t="shared" si="0"/>
        <v>0.12</v>
      </c>
      <c r="S11" s="161"/>
      <c r="U11" s="1" t="s">
        <v>37</v>
      </c>
      <c r="AB11">
        <v>2</v>
      </c>
    </row>
    <row r="12" spans="1:28" ht="15.3" x14ac:dyDescent="0.55000000000000004">
      <c r="A12" s="5">
        <v>6</v>
      </c>
      <c r="B12" s="189" t="s">
        <v>8</v>
      </c>
      <c r="C12" s="189"/>
      <c r="D12" s="189"/>
      <c r="E12" s="189"/>
      <c r="F12" s="189"/>
      <c r="G12" s="189"/>
      <c r="H12" s="189"/>
      <c r="I12" s="169" t="s">
        <v>52</v>
      </c>
      <c r="J12" s="169"/>
      <c r="K12" s="169"/>
      <c r="L12" s="169"/>
      <c r="M12" s="169"/>
      <c r="N12" s="169"/>
      <c r="O12" s="5">
        <v>2</v>
      </c>
      <c r="P12" s="210">
        <v>0.08</v>
      </c>
      <c r="Q12" s="210"/>
      <c r="R12" s="161">
        <f t="shared" si="0"/>
        <v>0.16</v>
      </c>
      <c r="S12" s="161"/>
      <c r="U12" s="1" t="s">
        <v>53</v>
      </c>
      <c r="AB12">
        <v>3</v>
      </c>
    </row>
    <row r="13" spans="1:28" ht="17.399999999999999" x14ac:dyDescent="0.55000000000000004">
      <c r="A13" s="216" t="s">
        <v>15</v>
      </c>
      <c r="B13" s="217"/>
      <c r="C13" s="217"/>
      <c r="D13" s="217"/>
      <c r="E13" s="217"/>
      <c r="F13" s="217"/>
      <c r="G13" s="217"/>
      <c r="H13" s="217"/>
      <c r="I13" s="217"/>
      <c r="J13" s="217"/>
      <c r="K13" s="217"/>
      <c r="L13" s="217"/>
      <c r="M13" s="217"/>
      <c r="N13" s="217"/>
      <c r="O13" s="217"/>
      <c r="P13" s="217"/>
      <c r="Q13" s="218"/>
      <c r="R13" s="219">
        <f>SUM(R7:R12)</f>
        <v>2.9600000000000004</v>
      </c>
      <c r="S13" s="220"/>
      <c r="U13" s="1" t="s">
        <v>38</v>
      </c>
      <c r="AA13" s="13"/>
    </row>
    <row r="14" spans="1:28" ht="15.3" x14ac:dyDescent="0.55000000000000004">
      <c r="A14" s="1"/>
      <c r="B14" s="1"/>
      <c r="C14" s="1"/>
      <c r="D14" s="1"/>
      <c r="E14" s="1"/>
      <c r="F14" s="1"/>
      <c r="G14" s="1"/>
      <c r="H14" s="1"/>
      <c r="I14" s="1"/>
      <c r="J14" s="1"/>
      <c r="L14" s="1"/>
      <c r="M14" s="1"/>
      <c r="N14" s="1"/>
      <c r="U14" s="1" t="s">
        <v>39</v>
      </c>
    </row>
    <row r="15" spans="1:28" ht="17.399999999999999" x14ac:dyDescent="0.55000000000000004">
      <c r="A15" s="3" t="s">
        <v>13</v>
      </c>
      <c r="B15" s="1"/>
      <c r="C15" s="1"/>
      <c r="D15" s="1"/>
      <c r="E15" s="1"/>
      <c r="F15" s="1"/>
      <c r="G15" s="1"/>
      <c r="H15" s="1"/>
      <c r="I15" s="1"/>
      <c r="J15" s="1"/>
      <c r="L15" s="1"/>
      <c r="M15" s="1"/>
      <c r="N15" s="1"/>
      <c r="U15" s="1" t="s">
        <v>40</v>
      </c>
    </row>
    <row r="16" spans="1:28" ht="15.3" x14ac:dyDescent="0.55000000000000004">
      <c r="A16" s="1"/>
      <c r="B16" s="1"/>
      <c r="C16" s="1"/>
      <c r="D16" s="1"/>
      <c r="E16" s="1"/>
      <c r="F16" s="1"/>
      <c r="G16" s="1"/>
      <c r="H16" s="1"/>
      <c r="I16" s="1"/>
      <c r="J16" s="1"/>
      <c r="L16" s="1"/>
      <c r="M16" s="1"/>
      <c r="N16" s="1"/>
      <c r="U16" s="1" t="s">
        <v>41</v>
      </c>
    </row>
    <row r="17" spans="1:21" ht="17.399999999999999" x14ac:dyDescent="0.55000000000000004">
      <c r="A17" s="213" t="s">
        <v>14</v>
      </c>
      <c r="B17" s="213"/>
      <c r="C17" s="213"/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U17" s="1" t="s">
        <v>42</v>
      </c>
    </row>
    <row r="18" spans="1:21" ht="15.3" x14ac:dyDescent="0.55000000000000004">
      <c r="A18" s="1"/>
      <c r="B18" s="1"/>
      <c r="C18" s="1"/>
      <c r="D18" s="1"/>
      <c r="E18" s="1"/>
      <c r="F18" s="1"/>
      <c r="G18" s="1"/>
      <c r="H18" s="1"/>
      <c r="I18" s="1"/>
      <c r="J18" s="1"/>
      <c r="L18" s="1"/>
      <c r="M18" s="1"/>
      <c r="N18" s="1"/>
      <c r="U18" s="1" t="s">
        <v>43</v>
      </c>
    </row>
    <row r="19" spans="1:21" ht="17.399999999999999" x14ac:dyDescent="0.55000000000000004">
      <c r="A19" s="212" t="s">
        <v>17</v>
      </c>
      <c r="B19" s="212"/>
      <c r="C19" s="212"/>
      <c r="D19" s="212"/>
      <c r="E19" s="212"/>
      <c r="F19" s="212"/>
      <c r="G19" s="1"/>
      <c r="H19" s="1"/>
      <c r="I19" s="1"/>
      <c r="J19" s="1"/>
      <c r="L19" s="1"/>
      <c r="M19" s="1"/>
      <c r="N19" s="1"/>
      <c r="U19" s="1" t="s">
        <v>44</v>
      </c>
    </row>
    <row r="20" spans="1:21" ht="15.3" x14ac:dyDescent="0.55000000000000004">
      <c r="A20" s="214" t="s">
        <v>18</v>
      </c>
      <c r="B20" s="214"/>
      <c r="C20" s="214"/>
      <c r="D20" s="214"/>
      <c r="E20" s="215" t="s">
        <v>16</v>
      </c>
      <c r="F20" s="215"/>
      <c r="G20" s="1"/>
      <c r="H20" s="1"/>
      <c r="I20" s="1"/>
      <c r="J20" s="1"/>
      <c r="L20" s="1"/>
      <c r="M20" s="1"/>
      <c r="N20" s="1"/>
      <c r="U20" s="1" t="s">
        <v>45</v>
      </c>
    </row>
    <row r="21" spans="1:21" ht="17.399999999999999" x14ac:dyDescent="0.55000000000000004">
      <c r="A21" s="214" t="s">
        <v>19</v>
      </c>
      <c r="B21" s="214"/>
      <c r="C21" s="214"/>
      <c r="D21" s="214"/>
      <c r="E21" s="192">
        <v>3</v>
      </c>
      <c r="F21" s="192"/>
      <c r="G21" s="1"/>
      <c r="H21" s="1"/>
      <c r="I21" s="1"/>
      <c r="J21" s="1"/>
      <c r="L21" s="1"/>
      <c r="M21" s="1"/>
      <c r="N21" s="1"/>
      <c r="U21" s="1" t="s">
        <v>46</v>
      </c>
    </row>
    <row r="22" spans="1:21" ht="15.3" x14ac:dyDescent="0.55000000000000004">
      <c r="A22" s="1"/>
      <c r="B22" s="1"/>
      <c r="C22" s="1"/>
      <c r="D22" s="1"/>
      <c r="E22" s="1"/>
      <c r="F22" s="1"/>
      <c r="G22" s="1"/>
      <c r="H22" s="1"/>
      <c r="I22" s="1"/>
      <c r="J22" s="1"/>
      <c r="L22" s="1"/>
      <c r="M22" s="1"/>
      <c r="N22" s="1"/>
      <c r="U22" s="1" t="s">
        <v>47</v>
      </c>
    </row>
    <row r="23" spans="1:21" ht="15.3" x14ac:dyDescent="0.55000000000000004">
      <c r="A23" s="1"/>
      <c r="B23" s="1"/>
      <c r="C23" s="1"/>
      <c r="D23" s="1"/>
      <c r="E23" s="1"/>
      <c r="F23" s="1"/>
      <c r="G23" s="1"/>
      <c r="H23" s="1"/>
      <c r="I23" s="1"/>
      <c r="J23" s="1"/>
      <c r="L23" s="1"/>
      <c r="M23" s="1"/>
      <c r="N23" s="1"/>
      <c r="U23" s="1" t="s">
        <v>48</v>
      </c>
    </row>
    <row r="24" spans="1:21" ht="17.399999999999999" x14ac:dyDescent="0.55000000000000004">
      <c r="A24" s="192" t="s">
        <v>22</v>
      </c>
      <c r="B24" s="192"/>
      <c r="C24" s="192"/>
      <c r="D24" s="192"/>
      <c r="E24" s="192">
        <f>E21*R13</f>
        <v>8.8800000000000008</v>
      </c>
      <c r="F24" s="192"/>
      <c r="G24" s="1"/>
      <c r="H24" s="1"/>
      <c r="I24" s="1"/>
      <c r="J24" s="1"/>
      <c r="L24" s="1"/>
      <c r="M24" s="1"/>
      <c r="N24" s="1"/>
      <c r="U24" s="1" t="s">
        <v>49</v>
      </c>
    </row>
    <row r="25" spans="1:21" ht="15.3" x14ac:dyDescent="0.55000000000000004">
      <c r="A25" s="1"/>
      <c r="B25" s="1"/>
      <c r="C25" s="1"/>
      <c r="D25" s="1"/>
      <c r="E25" s="1"/>
      <c r="F25" s="1"/>
      <c r="G25" s="1"/>
      <c r="H25" s="1"/>
      <c r="I25" s="1"/>
      <c r="J25" s="1"/>
      <c r="L25" s="1"/>
      <c r="M25" s="1"/>
      <c r="N25" s="1"/>
      <c r="U25" s="1" t="s">
        <v>50</v>
      </c>
    </row>
    <row r="26" spans="1:21" ht="15.3" x14ac:dyDescent="0.55000000000000004">
      <c r="A26" s="1"/>
      <c r="B26" s="1"/>
      <c r="C26" s="1"/>
      <c r="D26" s="1"/>
      <c r="E26" s="1"/>
      <c r="F26" s="1"/>
      <c r="G26" s="1"/>
      <c r="H26" s="1"/>
      <c r="I26" s="1"/>
      <c r="J26" s="1"/>
      <c r="L26" s="1"/>
      <c r="M26" s="1"/>
      <c r="N26" s="1"/>
      <c r="U26" s="1" t="s">
        <v>51</v>
      </c>
    </row>
    <row r="27" spans="1:21" ht="15.3" x14ac:dyDescent="0.55000000000000004">
      <c r="A27" s="1"/>
      <c r="B27" s="1"/>
      <c r="C27" s="1"/>
      <c r="D27" s="1"/>
      <c r="E27" s="1"/>
      <c r="F27" s="1"/>
      <c r="G27" s="1"/>
      <c r="H27" s="1"/>
      <c r="I27" s="1"/>
      <c r="J27" s="1"/>
      <c r="L27" s="1"/>
      <c r="M27" s="1"/>
      <c r="N27" s="1"/>
      <c r="U27" s="1" t="s">
        <v>52</v>
      </c>
    </row>
    <row r="28" spans="1:21" ht="15.3" x14ac:dyDescent="0.55000000000000004">
      <c r="A28" s="1"/>
      <c r="B28" s="1"/>
      <c r="C28" s="1"/>
      <c r="D28" s="1"/>
      <c r="E28" s="1"/>
      <c r="F28" s="1"/>
      <c r="G28" s="1"/>
      <c r="H28" s="1"/>
      <c r="I28" s="1"/>
      <c r="J28" s="1"/>
      <c r="L28" s="1"/>
      <c r="M28" s="1"/>
      <c r="N28" s="1"/>
    </row>
    <row r="29" spans="1:21" ht="17.399999999999999" x14ac:dyDescent="0.55000000000000004">
      <c r="A29" s="212" t="s">
        <v>23</v>
      </c>
      <c r="B29" s="212"/>
      <c r="C29" s="212"/>
      <c r="D29" s="212"/>
      <c r="E29" s="212"/>
      <c r="F29" s="212"/>
      <c r="G29" s="212"/>
      <c r="H29" s="212"/>
      <c r="I29" s="212"/>
      <c r="J29" s="1"/>
      <c r="K29" s="1"/>
      <c r="L29" s="1"/>
      <c r="M29" s="1"/>
      <c r="N29" s="1"/>
    </row>
    <row r="30" spans="1:21" ht="15.3" x14ac:dyDescent="0.5500000000000000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S30" s="1"/>
    </row>
    <row r="31" spans="1:21" ht="17.399999999999999" x14ac:dyDescent="0.55000000000000004">
      <c r="A31" s="192" t="s">
        <v>22</v>
      </c>
      <c r="B31" s="192"/>
      <c r="C31" s="192"/>
      <c r="D31" s="192"/>
      <c r="E31" s="8" t="s">
        <v>24</v>
      </c>
      <c r="F31" s="8"/>
      <c r="G31" s="8"/>
      <c r="H31" s="8"/>
      <c r="I31" s="6"/>
      <c r="J31" s="6"/>
      <c r="K31" s="6"/>
      <c r="L31" s="1"/>
      <c r="M31" s="1"/>
      <c r="N31" s="1"/>
      <c r="S31" s="1"/>
    </row>
    <row r="32" spans="1:21" ht="15.3" x14ac:dyDescent="0.55000000000000004">
      <c r="A32" s="161" t="s">
        <v>25</v>
      </c>
      <c r="B32" s="161"/>
      <c r="C32" s="161"/>
      <c r="D32" s="161"/>
      <c r="E32" s="161" t="s">
        <v>26</v>
      </c>
      <c r="F32" s="161"/>
      <c r="G32" s="161"/>
      <c r="H32" s="161"/>
      <c r="I32" s="161"/>
      <c r="J32" s="161"/>
      <c r="K32" s="161"/>
      <c r="L32" s="1"/>
      <c r="M32" s="1"/>
      <c r="N32" s="1"/>
      <c r="S32" s="1"/>
    </row>
    <row r="33" spans="1:24" ht="15.3" x14ac:dyDescent="0.55000000000000004">
      <c r="A33" s="161" t="s">
        <v>27</v>
      </c>
      <c r="B33" s="161"/>
      <c r="C33" s="161"/>
      <c r="D33" s="161"/>
      <c r="E33" s="161" t="s">
        <v>28</v>
      </c>
      <c r="F33" s="161"/>
      <c r="G33" s="161"/>
      <c r="H33" s="161"/>
      <c r="I33" s="161"/>
      <c r="J33" s="161"/>
      <c r="K33" s="161"/>
      <c r="L33" s="1"/>
      <c r="M33" s="1"/>
      <c r="N33" s="1"/>
      <c r="S33" s="1"/>
    </row>
    <row r="34" spans="1:24" ht="15.3" x14ac:dyDescent="0.55000000000000004">
      <c r="A34" s="161" t="s">
        <v>54</v>
      </c>
      <c r="B34" s="161"/>
      <c r="C34" s="161"/>
      <c r="D34" s="161"/>
      <c r="E34" s="161" t="s">
        <v>29</v>
      </c>
      <c r="F34" s="161"/>
      <c r="G34" s="161"/>
      <c r="H34" s="161"/>
      <c r="I34" s="161"/>
      <c r="J34" s="161"/>
      <c r="K34" s="161"/>
      <c r="L34" s="1"/>
      <c r="M34" s="1"/>
      <c r="N34" s="1"/>
      <c r="S34" s="1"/>
    </row>
    <row r="35" spans="1:24" ht="15.3" x14ac:dyDescent="0.5500000000000000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S35" s="1"/>
    </row>
    <row r="36" spans="1:24" ht="15.3" x14ac:dyDescent="0.5500000000000000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S36" s="1"/>
      <c r="X36" s="46">
        <f>2/3</f>
        <v>0.66666666666666663</v>
      </c>
    </row>
    <row r="37" spans="1:24" ht="15.3" x14ac:dyDescent="0.5500000000000000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S37" s="1"/>
      <c r="X37" t="s">
        <v>144</v>
      </c>
    </row>
    <row r="38" spans="1:24" ht="15.3" x14ac:dyDescent="0.55000000000000004">
      <c r="A38" s="1"/>
      <c r="B38" s="1"/>
      <c r="C38" s="1"/>
      <c r="D38" s="1"/>
      <c r="E38" s="1"/>
      <c r="F38" s="1"/>
      <c r="G38" s="1"/>
      <c r="H38" s="1"/>
      <c r="I38" s="1"/>
      <c r="J38" s="1"/>
      <c r="K38" s="211" t="s">
        <v>55</v>
      </c>
      <c r="L38" s="211"/>
      <c r="M38" s="1"/>
      <c r="N38" s="1"/>
      <c r="P38" s="211" t="s">
        <v>55</v>
      </c>
      <c r="Q38" s="211"/>
      <c r="S38" s="1"/>
      <c r="X38" t="s">
        <v>145</v>
      </c>
    </row>
    <row r="39" spans="1:24" ht="15.3" x14ac:dyDescent="0.55000000000000004">
      <c r="A39" s="1"/>
      <c r="B39" s="1"/>
      <c r="C39" s="1"/>
      <c r="D39" s="1"/>
      <c r="E39" s="1"/>
      <c r="F39" s="1"/>
      <c r="G39" s="1"/>
      <c r="H39" s="1"/>
      <c r="I39" s="1"/>
      <c r="J39" s="1"/>
      <c r="K39" t="s">
        <v>56</v>
      </c>
      <c r="L39" t="s">
        <v>57</v>
      </c>
      <c r="M39" s="1"/>
      <c r="N39" s="1"/>
      <c r="P39" t="s">
        <v>56</v>
      </c>
      <c r="Q39" t="s">
        <v>57</v>
      </c>
      <c r="S39" s="1"/>
      <c r="X39" t="s">
        <v>146</v>
      </c>
    </row>
    <row r="40" spans="1:24" ht="15.3" x14ac:dyDescent="0.55000000000000004">
      <c r="A40" s="1"/>
      <c r="B40" s="1"/>
      <c r="C40" s="1"/>
      <c r="D40" s="1"/>
      <c r="E40" s="1"/>
      <c r="F40" s="1"/>
      <c r="G40" s="210">
        <v>0.16</v>
      </c>
      <c r="H40" s="210"/>
      <c r="I40" s="1"/>
      <c r="J40" s="1"/>
      <c r="K40" s="1">
        <f>G40*1</f>
        <v>0.16</v>
      </c>
      <c r="L40">
        <f>G40*3</f>
        <v>0.48</v>
      </c>
      <c r="N40" s="1"/>
      <c r="P40">
        <f t="shared" ref="P40:P45" si="1">2*G40</f>
        <v>0.32</v>
      </c>
      <c r="Q40">
        <f t="shared" ref="Q40:Q45" si="2">6*G40</f>
        <v>0.96</v>
      </c>
      <c r="S40" s="1"/>
    </row>
    <row r="41" spans="1:24" ht="15.3" x14ac:dyDescent="0.55000000000000004">
      <c r="A41" s="1"/>
      <c r="B41" s="1"/>
      <c r="C41" s="1"/>
      <c r="D41" s="1"/>
      <c r="E41" s="1"/>
      <c r="F41" s="1"/>
      <c r="G41" s="210">
        <v>0.09</v>
      </c>
      <c r="H41" s="210"/>
      <c r="I41" s="1"/>
      <c r="J41" s="1"/>
      <c r="K41" s="1">
        <f t="shared" ref="K41:K45" si="3">G41*1</f>
        <v>0.09</v>
      </c>
      <c r="L41">
        <f t="shared" ref="L41:L45" si="4">G41*3</f>
        <v>0.27</v>
      </c>
      <c r="N41" s="1"/>
      <c r="P41">
        <f t="shared" si="1"/>
        <v>0.18</v>
      </c>
      <c r="Q41">
        <f t="shared" si="2"/>
        <v>0.54</v>
      </c>
      <c r="S41" s="1"/>
    </row>
    <row r="42" spans="1:24" ht="15.3" x14ac:dyDescent="0.55000000000000004">
      <c r="A42" s="1"/>
      <c r="B42" s="1"/>
      <c r="C42" s="1"/>
      <c r="D42" s="1"/>
      <c r="E42" s="1"/>
      <c r="F42" s="1"/>
      <c r="G42" s="210">
        <v>0.56000000000000005</v>
      </c>
      <c r="H42" s="210"/>
      <c r="I42" s="1"/>
      <c r="J42" s="1"/>
      <c r="K42" s="1">
        <f t="shared" si="3"/>
        <v>0.56000000000000005</v>
      </c>
      <c r="L42">
        <f t="shared" si="4"/>
        <v>1.6800000000000002</v>
      </c>
      <c r="N42" s="1"/>
      <c r="P42">
        <f t="shared" si="1"/>
        <v>1.1200000000000001</v>
      </c>
      <c r="Q42">
        <f t="shared" si="2"/>
        <v>3.3600000000000003</v>
      </c>
      <c r="S42" s="1"/>
    </row>
    <row r="43" spans="1:24" ht="15.3" x14ac:dyDescent="0.55000000000000004">
      <c r="A43" s="1"/>
      <c r="B43" s="1"/>
      <c r="C43" s="1"/>
      <c r="D43" s="1"/>
      <c r="E43" s="1"/>
      <c r="F43" s="1"/>
      <c r="G43" s="210">
        <v>0.05</v>
      </c>
      <c r="H43" s="210"/>
      <c r="I43" s="1"/>
      <c r="J43" s="1"/>
      <c r="K43" s="1">
        <f t="shared" si="3"/>
        <v>0.05</v>
      </c>
      <c r="L43">
        <f t="shared" si="4"/>
        <v>0.15000000000000002</v>
      </c>
      <c r="N43" s="1"/>
      <c r="P43">
        <f t="shared" si="1"/>
        <v>0.1</v>
      </c>
      <c r="Q43">
        <f t="shared" si="2"/>
        <v>0.30000000000000004</v>
      </c>
      <c r="S43" s="1"/>
    </row>
    <row r="44" spans="1:24" ht="15.3" x14ac:dyDescent="0.55000000000000004">
      <c r="A44" s="1"/>
      <c r="B44" s="1"/>
      <c r="C44" s="1"/>
      <c r="D44" s="1"/>
      <c r="E44" s="1"/>
      <c r="F44" s="1"/>
      <c r="G44" s="210">
        <v>0.06</v>
      </c>
      <c r="H44" s="210"/>
      <c r="I44" s="1"/>
      <c r="J44" s="1"/>
      <c r="K44" s="1">
        <f t="shared" si="3"/>
        <v>0.06</v>
      </c>
      <c r="L44">
        <f t="shared" si="4"/>
        <v>0.18</v>
      </c>
      <c r="N44" s="1"/>
      <c r="P44">
        <f t="shared" si="1"/>
        <v>0.12</v>
      </c>
      <c r="Q44">
        <f t="shared" si="2"/>
        <v>0.36</v>
      </c>
      <c r="S44" s="1"/>
    </row>
    <row r="45" spans="1:24" ht="15.3" x14ac:dyDescent="0.55000000000000004">
      <c r="A45" s="1"/>
      <c r="B45" s="1"/>
      <c r="C45" s="1"/>
      <c r="D45" s="1"/>
      <c r="E45" s="1"/>
      <c r="F45" s="1"/>
      <c r="G45" s="210">
        <v>0.08</v>
      </c>
      <c r="H45" s="210"/>
      <c r="I45" s="1"/>
      <c r="J45" s="1"/>
      <c r="K45" s="1">
        <f t="shared" si="3"/>
        <v>0.08</v>
      </c>
      <c r="L45">
        <f t="shared" si="4"/>
        <v>0.24</v>
      </c>
      <c r="N45" s="1"/>
      <c r="P45">
        <f t="shared" si="1"/>
        <v>0.16</v>
      </c>
      <c r="Q45">
        <f t="shared" si="2"/>
        <v>0.48</v>
      </c>
      <c r="S45" s="1"/>
    </row>
    <row r="46" spans="1:24" ht="15.3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>
        <f>SUM(K40:K45)</f>
        <v>1.0000000000000002</v>
      </c>
      <c r="L46" s="1">
        <f>SUM(L40:L45)</f>
        <v>3</v>
      </c>
      <c r="M46" s="1"/>
      <c r="N46" s="1"/>
      <c r="P46">
        <f>SUM(P40:P45)</f>
        <v>2.0000000000000004</v>
      </c>
      <c r="Q46">
        <f>SUM(Q40:Q45)</f>
        <v>6</v>
      </c>
      <c r="S46" s="1"/>
    </row>
    <row r="47" spans="1:24" ht="15.3" x14ac:dyDescent="0.55000000000000004">
      <c r="A47" s="1"/>
      <c r="B47" s="1"/>
      <c r="C47" s="1"/>
      <c r="D47" s="1"/>
      <c r="E47" s="1"/>
      <c r="F47" s="1"/>
      <c r="G47" s="1"/>
      <c r="H47" s="1"/>
      <c r="I47" s="1"/>
      <c r="J47" s="1"/>
      <c r="K47" s="1">
        <f>K46/6</f>
        <v>0.16666666666666671</v>
      </c>
      <c r="L47" s="1">
        <f>L46/6</f>
        <v>0.5</v>
      </c>
      <c r="M47" s="1"/>
      <c r="N47" s="1"/>
      <c r="P47">
        <f>P46/6</f>
        <v>0.33333333333333343</v>
      </c>
      <c r="Q47">
        <f>Q46/6</f>
        <v>1</v>
      </c>
      <c r="S47" s="1"/>
    </row>
    <row r="48" spans="1:24" ht="15.3" x14ac:dyDescent="0.55000000000000004">
      <c r="A48" s="1"/>
      <c r="B48" s="1"/>
      <c r="C48" s="1"/>
      <c r="D48" s="1"/>
      <c r="E48" s="1">
        <f>L48-K48</f>
        <v>1.3333333333333333</v>
      </c>
      <c r="F48" s="1"/>
      <c r="G48" s="1">
        <f>E48/3</f>
        <v>0.44444444444444442</v>
      </c>
      <c r="H48" s="1"/>
      <c r="I48" s="1"/>
      <c r="J48" s="1"/>
      <c r="K48" s="1">
        <f>K47*1</f>
        <v>0.16666666666666671</v>
      </c>
      <c r="L48" s="1">
        <f>L47*3</f>
        <v>1.5</v>
      </c>
      <c r="M48" s="1"/>
      <c r="N48" s="1"/>
      <c r="P48">
        <f>P47*2</f>
        <v>0.66666666666666685</v>
      </c>
      <c r="Q48">
        <f>Q47*6</f>
        <v>6</v>
      </c>
      <c r="S48" s="1"/>
      <c r="T48">
        <f>Q48-P48</f>
        <v>5.333333333333333</v>
      </c>
      <c r="U48">
        <f>T48/3</f>
        <v>1.7777777777777777</v>
      </c>
    </row>
    <row r="49" spans="1:21" ht="15.3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S49" s="1"/>
    </row>
    <row r="50" spans="1:21" ht="15.3" x14ac:dyDescent="0.55000000000000004">
      <c r="A50" s="1"/>
      <c r="B50" s="1"/>
      <c r="C50" s="1"/>
      <c r="D50" s="1"/>
      <c r="E50" s="1"/>
      <c r="F50" s="1"/>
      <c r="G50" s="1"/>
      <c r="H50" s="1"/>
      <c r="I50" s="1"/>
      <c r="J50" s="1"/>
      <c r="K50" s="1">
        <f>K48</f>
        <v>0.16666666666666671</v>
      </c>
      <c r="L50" s="1">
        <f>K48+G48</f>
        <v>0.61111111111111116</v>
      </c>
      <c r="M50" s="1"/>
      <c r="N50" s="1"/>
      <c r="O50" t="s">
        <v>26</v>
      </c>
      <c r="Q50">
        <v>0.67</v>
      </c>
      <c r="R50">
        <f>P48+U48</f>
        <v>2.4444444444444446</v>
      </c>
      <c r="S50" s="1"/>
    </row>
    <row r="51" spans="1:21" ht="15.3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>
        <v>0.7</v>
      </c>
      <c r="L51" s="1">
        <f>K51+G48</f>
        <v>1.1444444444444444</v>
      </c>
      <c r="M51" s="1"/>
      <c r="N51" s="1"/>
      <c r="O51" t="s">
        <v>28</v>
      </c>
      <c r="Q51">
        <v>2.4500000000000002</v>
      </c>
      <c r="R51">
        <f>Q51+U48</f>
        <v>4.2277777777777779</v>
      </c>
      <c r="S51" s="1"/>
    </row>
    <row r="52" spans="1:21" ht="15.3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>
        <v>1.2</v>
      </c>
      <c r="L52" s="1">
        <f>K52+G48</f>
        <v>1.6444444444444444</v>
      </c>
      <c r="M52" s="1"/>
      <c r="N52" s="1"/>
      <c r="O52" t="s">
        <v>29</v>
      </c>
      <c r="Q52">
        <v>4.24</v>
      </c>
      <c r="R52">
        <f>Q52+U48</f>
        <v>6.0177777777777779</v>
      </c>
      <c r="S52" s="1"/>
    </row>
    <row r="53" spans="1:21" ht="15.3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S53" s="1"/>
    </row>
    <row r="54" spans="1:21" ht="15.3" x14ac:dyDescent="0.55000000000000004">
      <c r="A54" s="1"/>
      <c r="B54" s="1"/>
      <c r="C54" s="1"/>
      <c r="D54" s="1">
        <f>2.96/6</f>
        <v>0.49333333333333335</v>
      </c>
      <c r="E54" s="1"/>
      <c r="F54" s="1"/>
      <c r="G54" s="1"/>
      <c r="H54" s="1"/>
      <c r="I54" s="1"/>
      <c r="J54" s="1"/>
      <c r="K54" s="1"/>
      <c r="L54" s="1"/>
      <c r="M54" s="1"/>
      <c r="N54" s="1"/>
      <c r="P54">
        <f>K46*1</f>
        <v>1.0000000000000002</v>
      </c>
      <c r="Q54">
        <f>L46*3</f>
        <v>9</v>
      </c>
      <c r="T54">
        <f>Q54-P54</f>
        <v>8</v>
      </c>
      <c r="U54" s="14">
        <f>T54/3</f>
        <v>2.6666666666666665</v>
      </c>
    </row>
    <row r="55" spans="1:21" ht="15.3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P55">
        <f>K46*2</f>
        <v>2.0000000000000004</v>
      </c>
      <c r="Q55">
        <f>L46*6</f>
        <v>18</v>
      </c>
      <c r="T55">
        <f>Q55-P55</f>
        <v>16</v>
      </c>
      <c r="U55" s="14">
        <f>T55/3</f>
        <v>5.333333333333333</v>
      </c>
    </row>
    <row r="56" spans="1:21" ht="15.6" x14ac:dyDescent="0.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t="s">
        <v>26</v>
      </c>
      <c r="Q56" s="15">
        <v>1</v>
      </c>
      <c r="R56" s="14">
        <f>Q56+U54</f>
        <v>3.6666666666666665</v>
      </c>
    </row>
    <row r="57" spans="1:21" ht="15.3" x14ac:dyDescent="0.5500000000000000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t="s">
        <v>28</v>
      </c>
      <c r="Q57">
        <v>3.8</v>
      </c>
      <c r="R57" s="14">
        <f>Q57+U54</f>
        <v>6.4666666666666668</v>
      </c>
    </row>
    <row r="58" spans="1:21" ht="15.3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t="s">
        <v>29</v>
      </c>
      <c r="Q58">
        <v>6.6</v>
      </c>
      <c r="R58" s="14">
        <f>Q58+U54</f>
        <v>9.2666666666666657</v>
      </c>
    </row>
    <row r="59" spans="1:21" ht="15.3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21" ht="15.3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t="s">
        <v>26</v>
      </c>
      <c r="Q60">
        <v>1</v>
      </c>
      <c r="R60" s="14">
        <f>Q60+U55</f>
        <v>6.333333333333333</v>
      </c>
    </row>
    <row r="61" spans="1:21" ht="15.3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t="s">
        <v>28</v>
      </c>
      <c r="Q61">
        <v>6.4</v>
      </c>
      <c r="R61" s="14">
        <f>Q61+U55</f>
        <v>11.733333333333334</v>
      </c>
    </row>
    <row r="62" spans="1:21" ht="15.3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t="s">
        <v>29</v>
      </c>
      <c r="Q62">
        <v>11.8</v>
      </c>
      <c r="R62" s="14">
        <f>Q62+U55</f>
        <v>17.133333333333333</v>
      </c>
    </row>
    <row r="63" spans="1:21" ht="15.3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21" ht="15.3" x14ac:dyDescent="0.5500000000000000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.3" x14ac:dyDescent="0.5500000000000000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.3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.3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.3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.3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.3" x14ac:dyDescent="0.5500000000000000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.3" x14ac:dyDescent="0.5500000000000000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.3" x14ac:dyDescent="0.5500000000000000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.3" x14ac:dyDescent="0.5500000000000000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.3" x14ac:dyDescent="0.5500000000000000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.3" x14ac:dyDescent="0.5500000000000000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.3" x14ac:dyDescent="0.5500000000000000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.3" x14ac:dyDescent="0.5500000000000000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.3" x14ac:dyDescent="0.5500000000000000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.3" x14ac:dyDescent="0.5500000000000000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.3" x14ac:dyDescent="0.5500000000000000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.3" x14ac:dyDescent="0.5500000000000000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.3" x14ac:dyDescent="0.5500000000000000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.3" x14ac:dyDescent="0.5500000000000000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.3" x14ac:dyDescent="0.5500000000000000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.3" x14ac:dyDescent="0.5500000000000000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.3" x14ac:dyDescent="0.5500000000000000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.3" x14ac:dyDescent="0.5500000000000000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.3" x14ac:dyDescent="0.5500000000000000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.3" x14ac:dyDescent="0.5500000000000000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.3" x14ac:dyDescent="0.5500000000000000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.3" x14ac:dyDescent="0.5500000000000000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.3" x14ac:dyDescent="0.5500000000000000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.3" x14ac:dyDescent="0.5500000000000000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.3" x14ac:dyDescent="0.5500000000000000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.3" x14ac:dyDescent="0.5500000000000000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.3" x14ac:dyDescent="0.5500000000000000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.3" x14ac:dyDescent="0.5500000000000000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.3" x14ac:dyDescent="0.5500000000000000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.3" x14ac:dyDescent="0.5500000000000000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.3" x14ac:dyDescent="0.5500000000000000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.3" x14ac:dyDescent="0.5500000000000000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.3" x14ac:dyDescent="0.5500000000000000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.3" x14ac:dyDescent="0.5500000000000000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</sheetData>
  <mergeCells count="54">
    <mergeCell ref="B6:H6"/>
    <mergeCell ref="I6:O6"/>
    <mergeCell ref="P6:Q6"/>
    <mergeCell ref="R6:S6"/>
    <mergeCell ref="B7:H7"/>
    <mergeCell ref="I7:N7"/>
    <mergeCell ref="P7:Q7"/>
    <mergeCell ref="R7:S7"/>
    <mergeCell ref="B8:H8"/>
    <mergeCell ref="I8:N8"/>
    <mergeCell ref="P8:Q8"/>
    <mergeCell ref="R8:S8"/>
    <mergeCell ref="B9:H9"/>
    <mergeCell ref="I9:N9"/>
    <mergeCell ref="P9:Q9"/>
    <mergeCell ref="R9:S9"/>
    <mergeCell ref="B10:H10"/>
    <mergeCell ref="I10:N10"/>
    <mergeCell ref="P10:Q10"/>
    <mergeCell ref="R10:S10"/>
    <mergeCell ref="B11:H11"/>
    <mergeCell ref="I11:N11"/>
    <mergeCell ref="P11:Q11"/>
    <mergeCell ref="R11:S11"/>
    <mergeCell ref="B12:H12"/>
    <mergeCell ref="I12:N12"/>
    <mergeCell ref="P12:Q12"/>
    <mergeCell ref="R12:S12"/>
    <mergeCell ref="A13:Q13"/>
    <mergeCell ref="R13:S13"/>
    <mergeCell ref="A17:Q17"/>
    <mergeCell ref="A19:F19"/>
    <mergeCell ref="A20:D20"/>
    <mergeCell ref="E20:F20"/>
    <mergeCell ref="A21:D21"/>
    <mergeCell ref="E21:F21"/>
    <mergeCell ref="P38:Q38"/>
    <mergeCell ref="G40:H40"/>
    <mergeCell ref="A24:D24"/>
    <mergeCell ref="E24:F24"/>
    <mergeCell ref="A29:I29"/>
    <mergeCell ref="A31:D31"/>
    <mergeCell ref="A32:D32"/>
    <mergeCell ref="E32:K32"/>
    <mergeCell ref="K38:L38"/>
    <mergeCell ref="A33:D33"/>
    <mergeCell ref="E33:K33"/>
    <mergeCell ref="A34:D34"/>
    <mergeCell ref="E34:K34"/>
    <mergeCell ref="G41:H41"/>
    <mergeCell ref="G42:H42"/>
    <mergeCell ref="G43:H43"/>
    <mergeCell ref="G44:H44"/>
    <mergeCell ref="G45:H45"/>
  </mergeCells>
  <dataValidations count="8">
    <dataValidation type="list" allowBlank="1" showInputMessage="1" showErrorMessage="1" sqref="I7" xr:uid="{BAD09701-E81E-4A99-8D76-4B44455B6E3F}">
      <formula1>$U$4:$U$7</formula1>
    </dataValidation>
    <dataValidation type="list" allowBlank="1" showInputMessage="1" showErrorMessage="1" sqref="I8" xr:uid="{E8AA07AE-F244-4FD1-AE0D-56F71B735036}">
      <formula1>$U$8:$U$11</formula1>
    </dataValidation>
    <dataValidation type="list" allowBlank="1" showInputMessage="1" showErrorMessage="1" sqref="I9" xr:uid="{A8DB3714-91C6-4A4E-BB56-EF70FB0CF6E7}">
      <formula1>$U$12:$U$15</formula1>
    </dataValidation>
    <dataValidation type="list" allowBlank="1" showInputMessage="1" showErrorMessage="1" sqref="I10" xr:uid="{F772FFFE-ED28-4683-A6A0-CB1F490AD88D}">
      <formula1>$U$16:$U$19</formula1>
    </dataValidation>
    <dataValidation type="list" allowBlank="1" showInputMessage="1" showErrorMessage="1" sqref="I11" xr:uid="{184CA7A6-0FC5-40BE-BDC4-207DAFA4CC7C}">
      <formula1>$U$20:$U$23</formula1>
    </dataValidation>
    <dataValidation type="list" allowBlank="1" showInputMessage="1" showErrorMessage="1" sqref="I12" xr:uid="{E70E60A0-2D81-4132-BBE9-16BEBFBE337D}">
      <formula1>$U$24:$U$27</formula1>
    </dataValidation>
    <dataValidation type="list" allowBlank="1" showInputMessage="1" showErrorMessage="1" sqref="E20" xr:uid="{94EC9554-394F-4150-8AA3-9133AA07963F}">
      <formula1>$AB$6:$AB$8</formula1>
    </dataValidation>
    <dataValidation type="list" allowBlank="1" showInputMessage="1" showErrorMessage="1" sqref="E21" xr:uid="{64E5238C-3C9D-450A-A863-90D9BDDE3D40}">
      <formula1>$AB$10:$AB$12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2EB0E-ACF8-4873-A4D5-CF160823782D}">
  <dimension ref="A1:AM103"/>
  <sheetViews>
    <sheetView topLeftCell="A10" workbookViewId="0">
      <selection activeCell="R13" sqref="R13:S13"/>
    </sheetView>
  </sheetViews>
  <sheetFormatPr baseColWidth="10" defaultColWidth="11.41796875" defaultRowHeight="14.4" x14ac:dyDescent="0.55000000000000004"/>
  <cols>
    <col min="1" max="5" width="4.68359375" customWidth="1"/>
    <col min="6" max="6" width="3.89453125" customWidth="1"/>
    <col min="7" max="7" width="4.68359375" customWidth="1"/>
    <col min="8" max="8" width="5.89453125" customWidth="1"/>
    <col min="9" max="14" width="8.68359375" customWidth="1"/>
    <col min="15" max="20" width="4.68359375" customWidth="1"/>
  </cols>
  <sheetData>
    <row r="1" spans="1:29" ht="17.399999999999999" x14ac:dyDescent="0.55000000000000004">
      <c r="A1" s="3" t="s">
        <v>0</v>
      </c>
      <c r="B1" s="3"/>
      <c r="C1" s="3"/>
      <c r="D1" s="3"/>
      <c r="E1" s="3"/>
      <c r="F1" s="3"/>
      <c r="G1" s="3"/>
      <c r="H1" s="1"/>
      <c r="I1" s="1"/>
      <c r="J1" s="1"/>
      <c r="K1" s="1"/>
      <c r="L1" s="1"/>
      <c r="M1" s="1"/>
      <c r="N1" s="1"/>
    </row>
    <row r="2" spans="1:29" ht="15.3" x14ac:dyDescent="0.5500000000000000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29" ht="15.3" x14ac:dyDescent="0.5500000000000000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29" ht="17.399999999999999" x14ac:dyDescent="0.55000000000000004">
      <c r="A4" s="3" t="s">
        <v>1</v>
      </c>
      <c r="B4" s="3"/>
      <c r="C4" s="3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U4" s="1" t="s">
        <v>30</v>
      </c>
    </row>
    <row r="5" spans="1:29" ht="15.3" x14ac:dyDescent="0.55000000000000004">
      <c r="A5" s="1"/>
      <c r="B5" s="1"/>
      <c r="C5" s="1"/>
      <c r="D5" s="1"/>
      <c r="E5" s="1"/>
      <c r="F5" s="1"/>
      <c r="G5" s="1"/>
      <c r="H5" s="1"/>
      <c r="I5" s="1"/>
      <c r="J5" s="1"/>
      <c r="L5" s="1"/>
      <c r="M5" s="1"/>
      <c r="N5" s="1"/>
      <c r="U5" s="1" t="s">
        <v>31</v>
      </c>
    </row>
    <row r="6" spans="1:29" ht="17.399999999999999" x14ac:dyDescent="0.55000000000000004">
      <c r="A6" s="4" t="s">
        <v>9</v>
      </c>
      <c r="B6" s="192" t="s">
        <v>2</v>
      </c>
      <c r="C6" s="192"/>
      <c r="D6" s="192"/>
      <c r="E6" s="192"/>
      <c r="F6" s="192"/>
      <c r="G6" s="192"/>
      <c r="H6" s="192"/>
      <c r="I6" s="192" t="s">
        <v>10</v>
      </c>
      <c r="J6" s="192"/>
      <c r="K6" s="192"/>
      <c r="L6" s="192"/>
      <c r="M6" s="192"/>
      <c r="N6" s="192"/>
      <c r="O6" s="192"/>
      <c r="P6" s="192" t="s">
        <v>11</v>
      </c>
      <c r="Q6" s="192"/>
      <c r="R6" s="192" t="s">
        <v>12</v>
      </c>
      <c r="S6" s="192"/>
      <c r="U6" s="1" t="s">
        <v>32</v>
      </c>
      <c r="AB6" t="s">
        <v>20</v>
      </c>
    </row>
    <row r="7" spans="1:29" ht="15.3" x14ac:dyDescent="0.55000000000000004">
      <c r="A7" s="9">
        <v>1</v>
      </c>
      <c r="B7" s="189" t="s">
        <v>3</v>
      </c>
      <c r="C7" s="189"/>
      <c r="D7" s="189"/>
      <c r="E7" s="189"/>
      <c r="F7" s="189"/>
      <c r="G7" s="189"/>
      <c r="H7" s="189"/>
      <c r="I7" s="189" t="s">
        <v>30</v>
      </c>
      <c r="J7" s="189"/>
      <c r="K7" s="189"/>
      <c r="L7" s="189"/>
      <c r="M7" s="189"/>
      <c r="N7" s="189"/>
      <c r="O7" s="5">
        <v>8</v>
      </c>
      <c r="P7" s="210">
        <v>0.16</v>
      </c>
      <c r="Q7" s="210"/>
      <c r="R7" s="143">
        <f t="shared" ref="R7:R12" si="0">O7*P7</f>
        <v>1.28</v>
      </c>
      <c r="S7" s="143"/>
      <c r="U7" s="1" t="s">
        <v>33</v>
      </c>
      <c r="AB7" t="s">
        <v>21</v>
      </c>
    </row>
    <row r="8" spans="1:29" ht="30" customHeight="1" x14ac:dyDescent="0.55000000000000004">
      <c r="A8" s="9">
        <v>2</v>
      </c>
      <c r="B8" s="186" t="s">
        <v>4</v>
      </c>
      <c r="C8" s="186"/>
      <c r="D8" s="186"/>
      <c r="E8" s="186"/>
      <c r="F8" s="186"/>
      <c r="G8" s="186"/>
      <c r="H8" s="186"/>
      <c r="I8" s="188" t="s">
        <v>34</v>
      </c>
      <c r="J8" s="188"/>
      <c r="K8" s="188"/>
      <c r="L8" s="188"/>
      <c r="M8" s="188"/>
      <c r="N8" s="188"/>
      <c r="O8" s="5">
        <v>8</v>
      </c>
      <c r="P8" s="210">
        <v>0.09</v>
      </c>
      <c r="Q8" s="210"/>
      <c r="R8" s="143">
        <f t="shared" si="0"/>
        <v>0.72</v>
      </c>
      <c r="S8" s="143"/>
      <c r="U8" s="1" t="s">
        <v>34</v>
      </c>
      <c r="AB8" t="s">
        <v>16</v>
      </c>
    </row>
    <row r="9" spans="1:29" ht="15.3" x14ac:dyDescent="0.55000000000000004">
      <c r="A9" s="9">
        <v>3</v>
      </c>
      <c r="B9" s="189" t="s">
        <v>5</v>
      </c>
      <c r="C9" s="189"/>
      <c r="D9" s="189"/>
      <c r="E9" s="189"/>
      <c r="F9" s="189"/>
      <c r="G9" s="189"/>
      <c r="H9" s="189"/>
      <c r="I9" s="169" t="s">
        <v>53</v>
      </c>
      <c r="J9" s="169"/>
      <c r="K9" s="169"/>
      <c r="L9" s="169"/>
      <c r="M9" s="169"/>
      <c r="N9" s="169"/>
      <c r="O9" s="5">
        <v>8</v>
      </c>
      <c r="P9" s="210">
        <v>0.56000000000000005</v>
      </c>
      <c r="Q9" s="210"/>
      <c r="R9" s="143">
        <f t="shared" si="0"/>
        <v>4.4800000000000004</v>
      </c>
      <c r="S9" s="143"/>
      <c r="U9" s="1" t="s">
        <v>35</v>
      </c>
    </row>
    <row r="10" spans="1:29" ht="15.3" x14ac:dyDescent="0.55000000000000004">
      <c r="A10" s="9">
        <v>4</v>
      </c>
      <c r="B10" s="189" t="s">
        <v>6</v>
      </c>
      <c r="C10" s="189"/>
      <c r="D10" s="189"/>
      <c r="E10" s="189"/>
      <c r="F10" s="189"/>
      <c r="G10" s="189"/>
      <c r="H10" s="189"/>
      <c r="I10" s="169" t="s">
        <v>41</v>
      </c>
      <c r="J10" s="169"/>
      <c r="K10" s="169"/>
      <c r="L10" s="169"/>
      <c r="M10" s="169"/>
      <c r="N10" s="169"/>
      <c r="O10" s="5">
        <v>8</v>
      </c>
      <c r="P10" s="210">
        <v>0.05</v>
      </c>
      <c r="Q10" s="210"/>
      <c r="R10" s="143">
        <f t="shared" si="0"/>
        <v>0.4</v>
      </c>
      <c r="S10" s="143"/>
      <c r="U10" s="1" t="s">
        <v>36</v>
      </c>
      <c r="AA10">
        <v>8</v>
      </c>
      <c r="AB10">
        <v>1</v>
      </c>
      <c r="AC10">
        <v>2</v>
      </c>
    </row>
    <row r="11" spans="1:29" ht="30.9" customHeight="1" x14ac:dyDescent="0.55000000000000004">
      <c r="A11" s="9">
        <v>5</v>
      </c>
      <c r="B11" s="185" t="s">
        <v>7</v>
      </c>
      <c r="C11" s="185"/>
      <c r="D11" s="185"/>
      <c r="E11" s="185"/>
      <c r="F11" s="185"/>
      <c r="G11" s="185"/>
      <c r="H11" s="185"/>
      <c r="I11" s="186" t="s">
        <v>45</v>
      </c>
      <c r="J11" s="186"/>
      <c r="K11" s="186"/>
      <c r="L11" s="186"/>
      <c r="M11" s="186"/>
      <c r="N11" s="186"/>
      <c r="O11" s="5">
        <v>8</v>
      </c>
      <c r="P11" s="210">
        <v>0.06</v>
      </c>
      <c r="Q11" s="210"/>
      <c r="R11" s="143">
        <f t="shared" si="0"/>
        <v>0.48</v>
      </c>
      <c r="S11" s="143"/>
      <c r="U11" s="1" t="s">
        <v>37</v>
      </c>
      <c r="AA11">
        <v>6</v>
      </c>
      <c r="AB11">
        <v>2</v>
      </c>
      <c r="AC11">
        <v>4</v>
      </c>
    </row>
    <row r="12" spans="1:29" ht="33" customHeight="1" x14ac:dyDescent="0.55000000000000004">
      <c r="A12" s="9">
        <v>6</v>
      </c>
      <c r="B12" s="185" t="s">
        <v>58</v>
      </c>
      <c r="C12" s="185"/>
      <c r="D12" s="185"/>
      <c r="E12" s="185"/>
      <c r="F12" s="185"/>
      <c r="G12" s="185"/>
      <c r="H12" s="185"/>
      <c r="I12" s="188" t="s">
        <v>49</v>
      </c>
      <c r="J12" s="188"/>
      <c r="K12" s="188"/>
      <c r="L12" s="188"/>
      <c r="M12" s="188"/>
      <c r="N12" s="188"/>
      <c r="O12" s="5">
        <v>8</v>
      </c>
      <c r="P12" s="210">
        <v>0.08</v>
      </c>
      <c r="Q12" s="210"/>
      <c r="R12" s="143">
        <f t="shared" si="0"/>
        <v>0.64</v>
      </c>
      <c r="S12" s="143"/>
      <c r="U12" s="1" t="s">
        <v>53</v>
      </c>
      <c r="AA12">
        <v>4</v>
      </c>
      <c r="AB12">
        <v>3</v>
      </c>
      <c r="AC12">
        <v>6</v>
      </c>
    </row>
    <row r="13" spans="1:29" ht="17.399999999999999" x14ac:dyDescent="0.55000000000000004">
      <c r="A13" s="216" t="s">
        <v>15</v>
      </c>
      <c r="B13" s="217"/>
      <c r="C13" s="217"/>
      <c r="D13" s="217"/>
      <c r="E13" s="217"/>
      <c r="F13" s="217"/>
      <c r="G13" s="217"/>
      <c r="H13" s="217"/>
      <c r="I13" s="217"/>
      <c r="J13" s="217"/>
      <c r="K13" s="217"/>
      <c r="L13" s="217"/>
      <c r="M13" s="217"/>
      <c r="N13" s="217"/>
      <c r="O13" s="217"/>
      <c r="P13" s="217"/>
      <c r="Q13" s="218"/>
      <c r="R13" s="219">
        <f>SUM(R7:R12)</f>
        <v>8.0000000000000018</v>
      </c>
      <c r="S13" s="220"/>
      <c r="U13" s="1" t="s">
        <v>38</v>
      </c>
      <c r="AA13" s="13">
        <v>2</v>
      </c>
    </row>
    <row r="14" spans="1:29" ht="15.3" x14ac:dyDescent="0.55000000000000004">
      <c r="A14" s="1"/>
      <c r="B14" s="1"/>
      <c r="C14" s="1"/>
      <c r="D14" s="1"/>
      <c r="E14" s="1"/>
      <c r="F14" s="1"/>
      <c r="G14" s="1"/>
      <c r="H14" s="1"/>
      <c r="I14" s="1"/>
      <c r="J14" s="1"/>
      <c r="L14" s="1"/>
      <c r="M14" s="1"/>
      <c r="N14" s="1"/>
      <c r="R14" s="237">
        <f>R13/6</f>
        <v>1.3333333333333337</v>
      </c>
      <c r="S14" s="237"/>
      <c r="U14" s="1" t="s">
        <v>39</v>
      </c>
    </row>
    <row r="15" spans="1:29" ht="17.399999999999999" x14ac:dyDescent="0.55000000000000004">
      <c r="A15" s="3" t="s">
        <v>13</v>
      </c>
      <c r="B15" s="1"/>
      <c r="C15" s="1"/>
      <c r="D15" s="1"/>
      <c r="E15" s="1"/>
      <c r="F15" s="1"/>
      <c r="G15" s="1"/>
      <c r="H15" s="1"/>
      <c r="I15" s="1"/>
      <c r="J15" s="1"/>
      <c r="L15" s="1"/>
      <c r="M15" s="1"/>
      <c r="N15" s="1"/>
      <c r="U15" s="1" t="s">
        <v>40</v>
      </c>
    </row>
    <row r="16" spans="1:29" ht="15.3" x14ac:dyDescent="0.55000000000000004">
      <c r="A16" s="1"/>
      <c r="B16" s="1"/>
      <c r="C16" s="1"/>
      <c r="D16" s="1"/>
      <c r="E16" s="1"/>
      <c r="F16" s="1"/>
      <c r="G16" s="1"/>
      <c r="H16" s="1"/>
      <c r="I16" s="1"/>
      <c r="J16" s="1"/>
      <c r="L16" s="1"/>
      <c r="M16" s="1"/>
      <c r="N16" s="1"/>
      <c r="U16" s="1" t="s">
        <v>41</v>
      </c>
    </row>
    <row r="17" spans="1:39" ht="17.7" x14ac:dyDescent="0.55000000000000004">
      <c r="B17" s="229" t="s">
        <v>18</v>
      </c>
      <c r="C17" s="230"/>
      <c r="D17" s="230"/>
      <c r="E17" s="230"/>
      <c r="F17" s="230"/>
      <c r="G17" s="16" t="s">
        <v>19</v>
      </c>
      <c r="H17" s="16"/>
      <c r="J17" s="229" t="s">
        <v>18</v>
      </c>
      <c r="K17" s="230"/>
      <c r="L17" s="230"/>
      <c r="M17" s="230"/>
      <c r="N17" s="230"/>
      <c r="O17" s="16" t="s">
        <v>19</v>
      </c>
      <c r="P17" s="16"/>
      <c r="U17" s="1" t="s">
        <v>42</v>
      </c>
    </row>
    <row r="18" spans="1:39" ht="15.75" customHeight="1" x14ac:dyDescent="0.55000000000000004">
      <c r="B18" s="225" t="s">
        <v>59</v>
      </c>
      <c r="C18" s="226"/>
      <c r="D18" s="226"/>
      <c r="E18" s="226"/>
      <c r="F18" s="226"/>
      <c r="G18" s="224">
        <v>3</v>
      </c>
      <c r="H18" s="224"/>
      <c r="J18" s="225" t="s">
        <v>59</v>
      </c>
      <c r="K18" s="226"/>
      <c r="L18" s="226"/>
      <c r="M18" s="226"/>
      <c r="N18" s="226"/>
      <c r="O18" s="224">
        <v>6</v>
      </c>
      <c r="P18" s="224"/>
      <c r="U18" s="1" t="s">
        <v>43</v>
      </c>
    </row>
    <row r="19" spans="1:39" ht="15.75" customHeight="1" x14ac:dyDescent="0.55000000000000004">
      <c r="B19" s="227" t="s">
        <v>60</v>
      </c>
      <c r="C19" s="228"/>
      <c r="D19" s="228"/>
      <c r="E19" s="228"/>
      <c r="F19" s="228"/>
      <c r="G19" s="224">
        <v>2</v>
      </c>
      <c r="H19" s="224"/>
      <c r="J19" s="227" t="s">
        <v>60</v>
      </c>
      <c r="K19" s="228"/>
      <c r="L19" s="228"/>
      <c r="M19" s="228"/>
      <c r="N19" s="228"/>
      <c r="O19" s="224">
        <v>4</v>
      </c>
      <c r="P19" s="224"/>
      <c r="U19" s="1" t="s">
        <v>44</v>
      </c>
    </row>
    <row r="20" spans="1:39" ht="17.7" x14ac:dyDescent="0.55000000000000004">
      <c r="B20" s="222" t="s">
        <v>61</v>
      </c>
      <c r="C20" s="223"/>
      <c r="D20" s="223"/>
      <c r="E20" s="223"/>
      <c r="F20" s="223"/>
      <c r="G20" s="224">
        <v>1</v>
      </c>
      <c r="H20" s="224"/>
      <c r="J20" s="222" t="s">
        <v>61</v>
      </c>
      <c r="K20" s="223"/>
      <c r="L20" s="223"/>
      <c r="M20" s="223"/>
      <c r="N20" s="223"/>
      <c r="O20" s="224">
        <v>2</v>
      </c>
      <c r="P20" s="224"/>
      <c r="U20" s="1" t="s">
        <v>45</v>
      </c>
    </row>
    <row r="21" spans="1:39" ht="15.3" x14ac:dyDescent="0.55000000000000004">
      <c r="U21" s="1" t="s">
        <v>46</v>
      </c>
    </row>
    <row r="22" spans="1:39" ht="15.3" x14ac:dyDescent="0.55000000000000004">
      <c r="U22" s="1" t="s">
        <v>47</v>
      </c>
    </row>
    <row r="23" spans="1:39" ht="15.3" x14ac:dyDescent="0.55000000000000004">
      <c r="U23" s="1" t="s">
        <v>48</v>
      </c>
    </row>
    <row r="24" spans="1:39" ht="15.3" x14ac:dyDescent="0.55000000000000004">
      <c r="U24" s="1" t="s">
        <v>49</v>
      </c>
    </row>
    <row r="25" spans="1:39" ht="17.399999999999999" x14ac:dyDescent="0.55000000000000004">
      <c r="A25" s="213" t="s">
        <v>14</v>
      </c>
      <c r="B25" s="213"/>
      <c r="C25" s="213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13"/>
      <c r="U25" s="1" t="s">
        <v>50</v>
      </c>
    </row>
    <row r="26" spans="1:39" ht="15.3" x14ac:dyDescent="0.55000000000000004">
      <c r="A26" s="1"/>
      <c r="B26" s="1"/>
      <c r="C26" s="1"/>
      <c r="D26" s="1"/>
      <c r="E26" s="1"/>
      <c r="F26" s="1"/>
      <c r="G26" s="1"/>
      <c r="H26" s="1"/>
      <c r="I26" s="1"/>
      <c r="J26" s="1"/>
      <c r="L26" s="1"/>
      <c r="M26" s="1"/>
      <c r="N26" s="1"/>
      <c r="U26" s="1" t="s">
        <v>51</v>
      </c>
    </row>
    <row r="27" spans="1:39" ht="17.399999999999999" x14ac:dyDescent="0.55000000000000004">
      <c r="A27" s="212" t="s">
        <v>17</v>
      </c>
      <c r="B27" s="212"/>
      <c r="C27" s="212"/>
      <c r="D27" s="212"/>
      <c r="E27" s="212"/>
      <c r="F27" s="212"/>
      <c r="G27" s="1"/>
      <c r="H27" s="1"/>
      <c r="I27" s="1"/>
      <c r="J27" s="1"/>
      <c r="L27" s="1"/>
      <c r="M27" s="1"/>
      <c r="N27" s="1"/>
      <c r="U27" s="1" t="s">
        <v>52</v>
      </c>
    </row>
    <row r="28" spans="1:39" ht="17.399999999999999" x14ac:dyDescent="0.55000000000000004">
      <c r="A28" s="214" t="s">
        <v>18</v>
      </c>
      <c r="B28" s="214"/>
      <c r="C28" s="214"/>
      <c r="D28" s="214"/>
      <c r="E28" s="192" t="s">
        <v>16</v>
      </c>
      <c r="F28" s="192"/>
      <c r="G28" s="17">
        <v>1</v>
      </c>
      <c r="H28" s="1"/>
      <c r="I28" s="1"/>
      <c r="J28" s="1"/>
      <c r="L28" s="1"/>
      <c r="M28" s="1"/>
      <c r="N28" s="1"/>
    </row>
    <row r="29" spans="1:39" ht="17.399999999999999" x14ac:dyDescent="0.55000000000000004">
      <c r="A29" s="162"/>
      <c r="B29" s="162"/>
      <c r="C29" s="162"/>
      <c r="D29" s="162"/>
      <c r="E29" s="3"/>
      <c r="F29" s="3"/>
      <c r="G29" s="1"/>
      <c r="H29" s="1"/>
      <c r="I29" s="1"/>
      <c r="J29" s="1"/>
      <c r="L29" s="1"/>
      <c r="M29" s="1"/>
      <c r="N29" s="1"/>
    </row>
    <row r="30" spans="1:39" ht="17.399999999999999" x14ac:dyDescent="0.55000000000000004">
      <c r="A30" s="214" t="s">
        <v>18</v>
      </c>
      <c r="B30" s="214"/>
      <c r="C30" s="214"/>
      <c r="D30" s="214"/>
      <c r="E30" s="192" t="s">
        <v>16</v>
      </c>
      <c r="F30" s="192"/>
      <c r="G30" s="20">
        <v>2</v>
      </c>
      <c r="H30" s="1"/>
      <c r="I30" s="1"/>
      <c r="J30" s="1"/>
      <c r="L30" s="1"/>
      <c r="M30" s="1"/>
      <c r="N30" s="1"/>
      <c r="S30" s="1"/>
    </row>
    <row r="31" spans="1:39" ht="17.7" x14ac:dyDescent="0.6">
      <c r="A31" s="1"/>
      <c r="B31" s="1"/>
      <c r="C31" s="1"/>
      <c r="D31" s="1"/>
      <c r="E31" s="1"/>
      <c r="F31" s="1"/>
      <c r="G31" s="1"/>
      <c r="H31" s="1"/>
      <c r="I31" s="1"/>
      <c r="J31" s="1"/>
      <c r="L31" s="1"/>
      <c r="M31" s="1"/>
      <c r="N31" s="1"/>
      <c r="S31" s="1"/>
      <c r="U31" s="2" t="s">
        <v>62</v>
      </c>
      <c r="V31" s="2"/>
      <c r="W31" s="2"/>
      <c r="Z31" s="2" t="s">
        <v>62</v>
      </c>
      <c r="AA31" s="2"/>
      <c r="AB31" s="2"/>
    </row>
    <row r="32" spans="1:39" ht="17.399999999999999" x14ac:dyDescent="0.55000000000000004">
      <c r="A32" s="192" t="s">
        <v>22</v>
      </c>
      <c r="B32" s="192"/>
      <c r="C32" s="192"/>
      <c r="D32" s="192"/>
      <c r="E32" s="232">
        <f>G28*R13</f>
        <v>8.0000000000000018</v>
      </c>
      <c r="F32" s="232"/>
      <c r="G32" s="1"/>
      <c r="H32" s="1"/>
      <c r="I32" s="1"/>
      <c r="J32" s="1"/>
      <c r="L32" s="1"/>
      <c r="M32" s="1"/>
      <c r="N32" s="1"/>
      <c r="S32" s="1"/>
      <c r="U32" s="168" t="s">
        <v>73</v>
      </c>
      <c r="V32" s="168"/>
      <c r="W32" s="168"/>
      <c r="X32" s="1"/>
      <c r="Y32" s="1"/>
      <c r="Z32" s="168" t="s">
        <v>74</v>
      </c>
      <c r="AA32" s="168"/>
      <c r="AB32" s="168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 ht="15.3" x14ac:dyDescent="0.55000000000000004">
      <c r="A33" s="1"/>
      <c r="B33" s="1"/>
      <c r="C33" s="1"/>
      <c r="D33" s="1"/>
      <c r="E33" s="1"/>
      <c r="F33" s="1"/>
      <c r="G33" s="1"/>
      <c r="H33" s="1"/>
      <c r="I33" s="1"/>
      <c r="J33" s="1"/>
      <c r="L33" s="1"/>
      <c r="M33" s="1"/>
      <c r="N33" s="1"/>
      <c r="S33" s="1"/>
      <c r="U33" s="159" t="s">
        <v>63</v>
      </c>
      <c r="V33" s="161" t="s">
        <v>64</v>
      </c>
      <c r="W33" s="161"/>
      <c r="X33" s="1"/>
      <c r="Y33" s="1"/>
      <c r="Z33" s="159" t="s">
        <v>63</v>
      </c>
      <c r="AA33" s="161" t="s">
        <v>64</v>
      </c>
      <c r="AB33" s="16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 ht="17.399999999999999" x14ac:dyDescent="0.55000000000000004">
      <c r="A34" s="192" t="s">
        <v>22</v>
      </c>
      <c r="B34" s="192"/>
      <c r="C34" s="192"/>
      <c r="D34" s="192"/>
      <c r="E34" s="233">
        <f>G30*R13</f>
        <v>16.000000000000004</v>
      </c>
      <c r="F34" s="233"/>
      <c r="G34" s="1"/>
      <c r="H34" s="1"/>
      <c r="I34" s="1"/>
      <c r="J34" s="1"/>
      <c r="L34" s="1"/>
      <c r="M34" s="1"/>
      <c r="N34" s="1"/>
      <c r="S34" s="1"/>
      <c r="U34" s="160"/>
      <c r="V34" s="5" t="s">
        <v>65</v>
      </c>
      <c r="W34" s="5" t="s">
        <v>66</v>
      </c>
      <c r="X34" s="1"/>
      <c r="Y34" s="1"/>
      <c r="Z34" s="160"/>
      <c r="AA34" s="5" t="s">
        <v>65</v>
      </c>
      <c r="AB34" s="5" t="s">
        <v>66</v>
      </c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 ht="15.3" x14ac:dyDescent="0.55000000000000004">
      <c r="A35" s="1"/>
      <c r="B35" s="1"/>
      <c r="C35" s="1"/>
      <c r="D35" s="1"/>
      <c r="E35" s="1"/>
      <c r="F35" s="1"/>
      <c r="G35" s="1"/>
      <c r="H35" s="1"/>
      <c r="I35" s="1"/>
      <c r="J35" s="1"/>
      <c r="L35" s="1"/>
      <c r="M35" s="1"/>
      <c r="N35" s="1"/>
      <c r="S35" s="1"/>
      <c r="U35" s="7">
        <v>0.16</v>
      </c>
      <c r="V35" s="18">
        <f>U35*1</f>
        <v>0.16</v>
      </c>
      <c r="W35" s="5">
        <f>U35*3</f>
        <v>0.48</v>
      </c>
      <c r="X35" s="1"/>
      <c r="Y35" s="1"/>
      <c r="Z35" s="7">
        <v>0.16</v>
      </c>
      <c r="AA35" s="18">
        <f>Z35*2</f>
        <v>0.32</v>
      </c>
      <c r="AB35" s="5">
        <f>Z35*6</f>
        <v>0.96</v>
      </c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 ht="15.3" x14ac:dyDescent="0.55000000000000004">
      <c r="A36" s="1"/>
      <c r="B36" s="1"/>
      <c r="C36" s="1"/>
      <c r="D36" s="1"/>
      <c r="E36" s="1"/>
      <c r="F36" s="1"/>
      <c r="G36" s="1"/>
      <c r="H36" s="1"/>
      <c r="I36" s="1"/>
      <c r="J36" s="1"/>
      <c r="L36" s="1"/>
      <c r="M36" s="1"/>
      <c r="N36" s="1"/>
      <c r="S36" s="1"/>
      <c r="U36" s="7">
        <v>0.09</v>
      </c>
      <c r="V36" s="18">
        <f t="shared" ref="V36:V40" si="1">U36*1</f>
        <v>0.09</v>
      </c>
      <c r="W36" s="5">
        <f t="shared" ref="W36:W40" si="2">U36*3</f>
        <v>0.27</v>
      </c>
      <c r="X36" s="1"/>
      <c r="Y36" s="1"/>
      <c r="Z36" s="7">
        <v>0.09</v>
      </c>
      <c r="AA36" s="18">
        <f t="shared" ref="AA36:AA40" si="3">Z36*2</f>
        <v>0.18</v>
      </c>
      <c r="AB36" s="5">
        <f t="shared" ref="AB36:AB40" si="4">Z36*6</f>
        <v>0.54</v>
      </c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 ht="17.399999999999999" x14ac:dyDescent="0.55000000000000004">
      <c r="A37" s="11" t="s">
        <v>23</v>
      </c>
      <c r="B37" s="11"/>
      <c r="C37" s="11"/>
      <c r="D37" s="11"/>
      <c r="E37" s="11"/>
      <c r="F37" s="11"/>
      <c r="G37" s="11"/>
      <c r="H37" s="11"/>
      <c r="I37" s="11"/>
      <c r="J37" s="1"/>
      <c r="K37" s="1"/>
      <c r="L37" s="1"/>
      <c r="M37" s="1"/>
      <c r="N37" s="1"/>
      <c r="S37" s="1"/>
      <c r="U37" s="7">
        <v>0.56000000000000005</v>
      </c>
      <c r="V37" s="18">
        <f t="shared" si="1"/>
        <v>0.56000000000000005</v>
      </c>
      <c r="W37" s="5">
        <f t="shared" si="2"/>
        <v>1.6800000000000002</v>
      </c>
      <c r="X37" s="1"/>
      <c r="Y37" s="1"/>
      <c r="Z37" s="7">
        <v>0.56000000000000005</v>
      </c>
      <c r="AA37" s="18">
        <f t="shared" si="3"/>
        <v>1.1200000000000001</v>
      </c>
      <c r="AB37" s="5">
        <f t="shared" si="4"/>
        <v>3.3600000000000003</v>
      </c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 ht="15.3" x14ac:dyDescent="0.5500000000000000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S38" s="1"/>
      <c r="U38" s="7">
        <v>0.05</v>
      </c>
      <c r="V38" s="18">
        <f t="shared" si="1"/>
        <v>0.05</v>
      </c>
      <c r="W38" s="5">
        <f t="shared" si="2"/>
        <v>0.15000000000000002</v>
      </c>
      <c r="X38" s="1"/>
      <c r="Y38" s="1"/>
      <c r="Z38" s="7">
        <v>0.05</v>
      </c>
      <c r="AA38" s="18">
        <f t="shared" si="3"/>
        <v>0.1</v>
      </c>
      <c r="AB38" s="5">
        <f t="shared" si="4"/>
        <v>0.30000000000000004</v>
      </c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ht="17.7" x14ac:dyDescent="0.55000000000000004">
      <c r="A39" s="174" t="s">
        <v>22</v>
      </c>
      <c r="B39" s="174"/>
      <c r="C39" s="174"/>
      <c r="D39" s="174"/>
      <c r="E39" s="174" t="s">
        <v>24</v>
      </c>
      <c r="F39" s="174"/>
      <c r="G39" s="174"/>
      <c r="H39" s="174"/>
      <c r="I39" s="174"/>
      <c r="J39" s="174"/>
      <c r="K39" s="1"/>
      <c r="L39" s="229" t="s">
        <v>18</v>
      </c>
      <c r="M39" s="230"/>
      <c r="N39" s="230"/>
      <c r="O39" s="230"/>
      <c r="P39" s="230"/>
      <c r="Q39" s="16" t="s">
        <v>19</v>
      </c>
      <c r="R39" s="16"/>
      <c r="S39" s="1"/>
      <c r="U39" s="7">
        <v>0.06</v>
      </c>
      <c r="V39" s="18">
        <f t="shared" si="1"/>
        <v>0.06</v>
      </c>
      <c r="W39" s="5">
        <f t="shared" si="2"/>
        <v>0.18</v>
      </c>
      <c r="X39" s="1"/>
      <c r="Y39" s="1"/>
      <c r="Z39" s="7">
        <v>0.06</v>
      </c>
      <c r="AA39" s="18">
        <f t="shared" si="3"/>
        <v>0.12</v>
      </c>
      <c r="AB39" s="5">
        <f t="shared" si="4"/>
        <v>0.36</v>
      </c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 ht="17.7" x14ac:dyDescent="0.6">
      <c r="A40" s="231" t="s">
        <v>71</v>
      </c>
      <c r="B40" s="231"/>
      <c r="C40" s="231"/>
      <c r="D40" s="231"/>
      <c r="E40" s="177" t="s">
        <v>26</v>
      </c>
      <c r="F40" s="177"/>
      <c r="G40" s="177"/>
      <c r="H40" s="177"/>
      <c r="I40" s="177"/>
      <c r="J40" s="177"/>
      <c r="K40" s="10"/>
      <c r="L40" s="225" t="s">
        <v>59</v>
      </c>
      <c r="M40" s="226"/>
      <c r="N40" s="226"/>
      <c r="O40" s="226"/>
      <c r="P40" s="226"/>
      <c r="Q40" s="224">
        <v>3</v>
      </c>
      <c r="R40" s="224"/>
      <c r="S40" s="1"/>
      <c r="U40" s="7">
        <v>0.08</v>
      </c>
      <c r="V40" s="18">
        <f t="shared" si="1"/>
        <v>0.08</v>
      </c>
      <c r="W40" s="5">
        <f t="shared" si="2"/>
        <v>0.24</v>
      </c>
      <c r="X40" s="1"/>
      <c r="Y40" s="1"/>
      <c r="Z40" s="7">
        <v>0.08</v>
      </c>
      <c r="AA40" s="18">
        <f t="shared" si="3"/>
        <v>0.16</v>
      </c>
      <c r="AB40" s="5">
        <f t="shared" si="4"/>
        <v>0.48</v>
      </c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 ht="17.7" x14ac:dyDescent="0.6">
      <c r="A41" s="231" t="s">
        <v>72</v>
      </c>
      <c r="B41" s="231"/>
      <c r="C41" s="231"/>
      <c r="D41" s="231"/>
      <c r="E41" s="171" t="s">
        <v>28</v>
      </c>
      <c r="F41" s="171"/>
      <c r="G41" s="171"/>
      <c r="H41" s="171"/>
      <c r="I41" s="171"/>
      <c r="J41" s="171"/>
      <c r="K41" s="10"/>
      <c r="L41" s="227" t="s">
        <v>60</v>
      </c>
      <c r="M41" s="228"/>
      <c r="N41" s="228"/>
      <c r="O41" s="228"/>
      <c r="P41" s="228"/>
      <c r="Q41" s="224">
        <v>2</v>
      </c>
      <c r="R41" s="224"/>
      <c r="S41" s="1"/>
      <c r="V41" s="5">
        <f>SUM(V35:V40)</f>
        <v>1.0000000000000002</v>
      </c>
      <c r="W41" s="5">
        <f>SUM(W35:W40)</f>
        <v>3</v>
      </c>
      <c r="X41" s="1"/>
      <c r="Y41" s="1"/>
      <c r="AA41" s="5">
        <f>SUM(AA35:AA40)</f>
        <v>2.0000000000000004</v>
      </c>
      <c r="AB41" s="5">
        <f>SUM(AB35:AB40)</f>
        <v>6</v>
      </c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 ht="17.7" x14ac:dyDescent="0.6">
      <c r="A42" s="231" t="s">
        <v>78</v>
      </c>
      <c r="B42" s="231"/>
      <c r="C42" s="231"/>
      <c r="D42" s="231"/>
      <c r="E42" s="173" t="s">
        <v>29</v>
      </c>
      <c r="F42" s="173"/>
      <c r="G42" s="173"/>
      <c r="H42" s="173"/>
      <c r="I42" s="173"/>
      <c r="J42" s="173"/>
      <c r="K42" s="10"/>
      <c r="L42" s="222" t="s">
        <v>61</v>
      </c>
      <c r="M42" s="223"/>
      <c r="N42" s="223"/>
      <c r="O42" s="223"/>
      <c r="P42" s="223"/>
      <c r="Q42" s="224">
        <v>1</v>
      </c>
      <c r="R42" s="224"/>
      <c r="S42" s="1"/>
      <c r="U42" s="12" t="s">
        <v>55</v>
      </c>
      <c r="V42" s="10">
        <v>1</v>
      </c>
      <c r="W42" s="10">
        <v>9</v>
      </c>
      <c r="X42" s="1"/>
      <c r="Y42" s="1"/>
      <c r="Z42" s="12" t="s">
        <v>55</v>
      </c>
      <c r="AA42" s="10">
        <v>4</v>
      </c>
      <c r="AB42" s="10">
        <v>36</v>
      </c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 ht="15.3" x14ac:dyDescent="0.5500000000000000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56"/>
      <c r="M43" s="156"/>
      <c r="N43" s="1"/>
      <c r="S43" s="1"/>
      <c r="X43" s="1"/>
      <c r="Y43" s="1"/>
      <c r="AA43">
        <f>AA41/6</f>
        <v>0.33333333333333343</v>
      </c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 ht="17.7" x14ac:dyDescent="0.55000000000000004">
      <c r="A44" s="174" t="s">
        <v>22</v>
      </c>
      <c r="B44" s="174"/>
      <c r="C44" s="174"/>
      <c r="D44" s="174"/>
      <c r="E44" s="174" t="s">
        <v>24</v>
      </c>
      <c r="F44" s="174"/>
      <c r="G44" s="174"/>
      <c r="H44" s="174"/>
      <c r="I44" s="174"/>
      <c r="J44" s="174"/>
      <c r="K44" s="1"/>
      <c r="L44" s="229" t="s">
        <v>18</v>
      </c>
      <c r="M44" s="230"/>
      <c r="N44" s="230"/>
      <c r="O44" s="230"/>
      <c r="P44" s="230"/>
      <c r="Q44" s="16" t="s">
        <v>19</v>
      </c>
      <c r="R44" s="16"/>
      <c r="S44" s="1"/>
      <c r="X44" s="1"/>
      <c r="Y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 ht="17.7" x14ac:dyDescent="0.6">
      <c r="A45" s="231" t="s">
        <v>75</v>
      </c>
      <c r="B45" s="231"/>
      <c r="C45" s="231"/>
      <c r="D45" s="231"/>
      <c r="E45" s="177" t="s">
        <v>26</v>
      </c>
      <c r="F45" s="177"/>
      <c r="G45" s="177"/>
      <c r="H45" s="177"/>
      <c r="I45" s="177"/>
      <c r="J45" s="177"/>
      <c r="K45" s="1"/>
      <c r="L45" s="225" t="s">
        <v>59</v>
      </c>
      <c r="M45" s="226"/>
      <c r="N45" s="226"/>
      <c r="O45" s="226"/>
      <c r="P45" s="226"/>
      <c r="Q45" s="224">
        <v>6</v>
      </c>
      <c r="R45" s="224"/>
      <c r="S45" s="1"/>
      <c r="X45" s="1"/>
      <c r="Y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 ht="17.7" x14ac:dyDescent="0.6">
      <c r="A46" s="231" t="s">
        <v>76</v>
      </c>
      <c r="B46" s="231"/>
      <c r="C46" s="231"/>
      <c r="D46" s="231"/>
      <c r="E46" s="171" t="s">
        <v>28</v>
      </c>
      <c r="F46" s="171"/>
      <c r="G46" s="171"/>
      <c r="H46" s="171"/>
      <c r="I46" s="171"/>
      <c r="J46" s="171"/>
      <c r="K46" s="1"/>
      <c r="L46" s="227" t="s">
        <v>60</v>
      </c>
      <c r="M46" s="228"/>
      <c r="N46" s="228"/>
      <c r="O46" s="228"/>
      <c r="P46" s="228"/>
      <c r="Q46" s="224">
        <v>4</v>
      </c>
      <c r="R46" s="224"/>
      <c r="S46" s="1"/>
      <c r="X46" s="1"/>
      <c r="Y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 ht="17.7" x14ac:dyDescent="0.6">
      <c r="A47" s="231" t="s">
        <v>77</v>
      </c>
      <c r="B47" s="231"/>
      <c r="C47" s="231"/>
      <c r="D47" s="231"/>
      <c r="E47" s="173" t="s">
        <v>29</v>
      </c>
      <c r="F47" s="173"/>
      <c r="G47" s="173"/>
      <c r="H47" s="173"/>
      <c r="I47" s="173"/>
      <c r="J47" s="173"/>
      <c r="K47" s="1"/>
      <c r="L47" s="222" t="s">
        <v>61</v>
      </c>
      <c r="M47" s="223"/>
      <c r="N47" s="223"/>
      <c r="O47" s="223"/>
      <c r="P47" s="223"/>
      <c r="Q47" s="224">
        <v>2</v>
      </c>
      <c r="R47" s="224"/>
      <c r="S47" s="1"/>
      <c r="U47" s="1" t="s">
        <v>67</v>
      </c>
      <c r="V47" s="1">
        <f>W42-V42</f>
        <v>8</v>
      </c>
      <c r="W47" s="1"/>
      <c r="X47" s="1"/>
      <c r="Y47" s="1"/>
      <c r="Z47" s="1" t="s">
        <v>67</v>
      </c>
      <c r="AA47" s="1">
        <f>AB42-AA42</f>
        <v>32</v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ht="15.3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S48" s="1"/>
      <c r="U48" s="1" t="s">
        <v>68</v>
      </c>
      <c r="V48" s="1">
        <v>3</v>
      </c>
      <c r="W48" s="1"/>
      <c r="X48" s="1"/>
      <c r="Y48" s="1"/>
      <c r="Z48" s="1" t="s">
        <v>68</v>
      </c>
      <c r="AA48" s="1">
        <v>3</v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ht="15.3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S49" s="1"/>
      <c r="U49" s="1" t="s">
        <v>69</v>
      </c>
      <c r="V49" s="19">
        <f>V47/V48</f>
        <v>2.6666666666666665</v>
      </c>
      <c r="W49" s="1"/>
      <c r="X49" s="1"/>
      <c r="Y49" s="1"/>
      <c r="Z49" s="1" t="s">
        <v>69</v>
      </c>
      <c r="AA49" s="19">
        <f>AA47/AA48</f>
        <v>10.666666666666666</v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ht="17.7" x14ac:dyDescent="0.55000000000000004">
      <c r="A50" s="174" t="s">
        <v>22</v>
      </c>
      <c r="B50" s="174"/>
      <c r="C50" s="174"/>
      <c r="D50" s="174"/>
      <c r="E50" s="174" t="s">
        <v>24</v>
      </c>
      <c r="F50" s="174"/>
      <c r="G50" s="174"/>
      <c r="H50" s="174"/>
      <c r="I50" s="174"/>
      <c r="J50" s="174"/>
      <c r="K50" s="1"/>
      <c r="L50" s="229" t="s">
        <v>18</v>
      </c>
      <c r="M50" s="230"/>
      <c r="N50" s="230"/>
      <c r="O50" s="230"/>
      <c r="P50" s="230"/>
      <c r="Q50" s="16" t="s">
        <v>19</v>
      </c>
      <c r="R50" s="16"/>
      <c r="S50" s="1"/>
      <c r="U50" s="145" t="s">
        <v>70</v>
      </c>
      <c r="V50" s="145"/>
      <c r="W50" s="145"/>
      <c r="Z50" s="145" t="s">
        <v>70</v>
      </c>
      <c r="AA50" s="145"/>
      <c r="AB50" s="145"/>
    </row>
    <row r="51" spans="1:39" ht="17.7" x14ac:dyDescent="0.6">
      <c r="A51" s="221" t="s">
        <v>79</v>
      </c>
      <c r="B51" s="221"/>
      <c r="C51" s="221"/>
      <c r="D51" s="221"/>
      <c r="E51" s="177" t="s">
        <v>26</v>
      </c>
      <c r="F51" s="177"/>
      <c r="G51" s="177"/>
      <c r="H51" s="177"/>
      <c r="I51" s="177"/>
      <c r="J51" s="177"/>
      <c r="K51" s="10"/>
      <c r="L51" s="225" t="s">
        <v>59</v>
      </c>
      <c r="M51" s="226"/>
      <c r="N51" s="226"/>
      <c r="O51" s="226"/>
      <c r="P51" s="226"/>
      <c r="Q51" s="224">
        <v>3</v>
      </c>
      <c r="R51" s="224"/>
      <c r="S51" s="1"/>
      <c r="U51" s="1"/>
      <c r="V51" s="1">
        <v>1</v>
      </c>
      <c r="W51" s="19">
        <f>V51+V49</f>
        <v>3.6666666666666665</v>
      </c>
      <c r="Z51" s="1"/>
      <c r="AA51" s="1">
        <v>2</v>
      </c>
      <c r="AB51" s="19">
        <f>AA51+AA49</f>
        <v>12.666666666666666</v>
      </c>
    </row>
    <row r="52" spans="1:39" ht="17.7" x14ac:dyDescent="0.6">
      <c r="A52" s="221" t="s">
        <v>80</v>
      </c>
      <c r="B52" s="221"/>
      <c r="C52" s="221"/>
      <c r="D52" s="221"/>
      <c r="E52" s="171" t="s">
        <v>28</v>
      </c>
      <c r="F52" s="171"/>
      <c r="G52" s="171"/>
      <c r="H52" s="171"/>
      <c r="I52" s="171"/>
      <c r="J52" s="171"/>
      <c r="K52" s="10"/>
      <c r="L52" s="227" t="s">
        <v>60</v>
      </c>
      <c r="M52" s="228"/>
      <c r="N52" s="228"/>
      <c r="O52" s="228"/>
      <c r="P52" s="228"/>
      <c r="Q52" s="224">
        <v>2</v>
      </c>
      <c r="R52" s="224"/>
      <c r="S52" s="1"/>
      <c r="U52" s="1"/>
      <c r="V52" s="1">
        <v>3.8</v>
      </c>
      <c r="W52" s="19">
        <f>V52+V49</f>
        <v>6.4666666666666668</v>
      </c>
      <c r="Z52" s="1"/>
      <c r="AA52" s="1">
        <v>12.8</v>
      </c>
      <c r="AB52" s="19">
        <f>AA52+AA49</f>
        <v>23.466666666666669</v>
      </c>
    </row>
    <row r="53" spans="1:39" ht="17.7" x14ac:dyDescent="0.6">
      <c r="A53" s="221" t="s">
        <v>81</v>
      </c>
      <c r="B53" s="221"/>
      <c r="C53" s="221"/>
      <c r="D53" s="221"/>
      <c r="E53" s="173" t="s">
        <v>29</v>
      </c>
      <c r="F53" s="173"/>
      <c r="G53" s="173"/>
      <c r="H53" s="173"/>
      <c r="I53" s="173"/>
      <c r="J53" s="173"/>
      <c r="K53" s="10"/>
      <c r="L53" s="222" t="s">
        <v>61</v>
      </c>
      <c r="M53" s="223"/>
      <c r="N53" s="223"/>
      <c r="O53" s="223"/>
      <c r="P53" s="223"/>
      <c r="Q53" s="224">
        <v>1</v>
      </c>
      <c r="R53" s="224"/>
      <c r="S53" s="1"/>
      <c r="U53" s="1"/>
      <c r="V53" s="1">
        <v>6.6</v>
      </c>
      <c r="W53" s="19">
        <f>V53+V49</f>
        <v>9.2666666666666657</v>
      </c>
      <c r="Z53" s="1"/>
      <c r="AA53" s="1">
        <v>23.6</v>
      </c>
      <c r="AB53" s="19">
        <f>AA53+AA49</f>
        <v>34.266666666666666</v>
      </c>
    </row>
    <row r="54" spans="1:39" ht="15.3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56"/>
      <c r="M54" s="156"/>
      <c r="N54" s="1"/>
    </row>
    <row r="55" spans="1:39" ht="17.7" x14ac:dyDescent="0.55000000000000004">
      <c r="A55" s="174" t="s">
        <v>22</v>
      </c>
      <c r="B55" s="174"/>
      <c r="C55" s="174"/>
      <c r="D55" s="174"/>
      <c r="E55" s="174" t="s">
        <v>24</v>
      </c>
      <c r="F55" s="174"/>
      <c r="G55" s="174"/>
      <c r="H55" s="174"/>
      <c r="I55" s="174"/>
      <c r="J55" s="174"/>
      <c r="K55" s="1"/>
      <c r="L55" s="229" t="s">
        <v>18</v>
      </c>
      <c r="M55" s="230"/>
      <c r="N55" s="230"/>
      <c r="O55" s="230"/>
      <c r="P55" s="230"/>
      <c r="Q55" s="16" t="s">
        <v>19</v>
      </c>
      <c r="R55" s="16"/>
    </row>
    <row r="56" spans="1:39" ht="17.7" x14ac:dyDescent="0.6">
      <c r="A56" s="221" t="s">
        <v>82</v>
      </c>
      <c r="B56" s="221"/>
      <c r="C56" s="221"/>
      <c r="D56" s="221"/>
      <c r="E56" s="177" t="s">
        <v>26</v>
      </c>
      <c r="F56" s="177"/>
      <c r="G56" s="177"/>
      <c r="H56" s="177"/>
      <c r="I56" s="177"/>
      <c r="J56" s="177"/>
      <c r="K56" s="1"/>
      <c r="L56" s="225" t="s">
        <v>59</v>
      </c>
      <c r="M56" s="226"/>
      <c r="N56" s="226"/>
      <c r="O56" s="226"/>
      <c r="P56" s="226"/>
      <c r="Q56" s="224">
        <v>6</v>
      </c>
      <c r="R56" s="224"/>
    </row>
    <row r="57" spans="1:39" ht="17.7" x14ac:dyDescent="0.6">
      <c r="A57" s="221" t="s">
        <v>83</v>
      </c>
      <c r="B57" s="221"/>
      <c r="C57" s="221"/>
      <c r="D57" s="221"/>
      <c r="E57" s="171" t="s">
        <v>28</v>
      </c>
      <c r="F57" s="171"/>
      <c r="G57" s="171"/>
      <c r="H57" s="171"/>
      <c r="I57" s="171"/>
      <c r="J57" s="171"/>
      <c r="K57" s="1"/>
      <c r="L57" s="227" t="s">
        <v>60</v>
      </c>
      <c r="M57" s="228"/>
      <c r="N57" s="228"/>
      <c r="O57" s="228"/>
      <c r="P57" s="228"/>
      <c r="Q57" s="224">
        <v>4</v>
      </c>
      <c r="R57" s="224"/>
    </row>
    <row r="58" spans="1:39" ht="17.7" x14ac:dyDescent="0.6">
      <c r="A58" s="221" t="s">
        <v>84</v>
      </c>
      <c r="B58" s="221"/>
      <c r="C58" s="221"/>
      <c r="D58" s="221"/>
      <c r="E58" s="173" t="s">
        <v>29</v>
      </c>
      <c r="F58" s="173"/>
      <c r="G58" s="173"/>
      <c r="H58" s="173"/>
      <c r="I58" s="173"/>
      <c r="J58" s="173"/>
      <c r="K58" s="1"/>
      <c r="L58" s="222" t="s">
        <v>61</v>
      </c>
      <c r="M58" s="223"/>
      <c r="N58" s="223"/>
      <c r="O58" s="223"/>
      <c r="P58" s="223"/>
      <c r="Q58" s="224">
        <v>2</v>
      </c>
      <c r="R58" s="224"/>
    </row>
    <row r="59" spans="1:39" ht="15.3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39" ht="15.3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39" ht="19.8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239">
        <v>45533</v>
      </c>
      <c r="K61" s="239"/>
      <c r="L61" s="1"/>
      <c r="M61" s="1"/>
      <c r="N61" s="1"/>
    </row>
    <row r="62" spans="1:39" ht="15.3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39" ht="17.7" x14ac:dyDescent="0.55000000000000004">
      <c r="A63" s="174" t="s">
        <v>22</v>
      </c>
      <c r="B63" s="174"/>
      <c r="C63" s="174"/>
      <c r="D63" s="174"/>
      <c r="E63" s="174" t="s">
        <v>24</v>
      </c>
      <c r="F63" s="174"/>
      <c r="G63" s="174"/>
      <c r="H63" s="174"/>
      <c r="I63" s="174"/>
      <c r="J63" s="174"/>
      <c r="K63" s="1"/>
      <c r="L63" s="229" t="s">
        <v>18</v>
      </c>
      <c r="M63" s="230"/>
      <c r="N63" s="230"/>
      <c r="O63" s="230"/>
      <c r="P63" s="230"/>
      <c r="Q63" s="16" t="s">
        <v>19</v>
      </c>
      <c r="R63" s="16"/>
    </row>
    <row r="64" spans="1:39" ht="17.7" x14ac:dyDescent="0.55000000000000004">
      <c r="A64" s="219" t="s">
        <v>87</v>
      </c>
      <c r="B64" s="234" t="s">
        <v>87</v>
      </c>
      <c r="C64" s="234" t="s">
        <v>87</v>
      </c>
      <c r="D64" s="220" t="s">
        <v>87</v>
      </c>
      <c r="E64" s="177" t="s">
        <v>26</v>
      </c>
      <c r="F64" s="177"/>
      <c r="G64" s="177"/>
      <c r="H64" s="177"/>
      <c r="I64" s="177"/>
      <c r="J64" s="177"/>
      <c r="K64" s="1"/>
      <c r="L64" s="225" t="s">
        <v>59</v>
      </c>
      <c r="M64" s="226"/>
      <c r="N64" s="226"/>
      <c r="O64" s="226"/>
      <c r="P64" s="226"/>
      <c r="Q64" s="224">
        <v>6</v>
      </c>
      <c r="R64" s="224"/>
      <c r="U64" s="1" t="s">
        <v>85</v>
      </c>
      <c r="V64" s="10">
        <v>4</v>
      </c>
      <c r="W64" s="10">
        <v>36</v>
      </c>
      <c r="X64" s="1"/>
      <c r="Y64" s="1" t="s">
        <v>86</v>
      </c>
      <c r="Z64" s="21">
        <f>V64/6</f>
        <v>0.66666666666666663</v>
      </c>
      <c r="AA64" s="10">
        <f>W64/6</f>
        <v>6</v>
      </c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7.7" x14ac:dyDescent="0.55000000000000004">
      <c r="A65" s="219" t="s">
        <v>88</v>
      </c>
      <c r="B65" s="234" t="s">
        <v>88</v>
      </c>
      <c r="C65" s="234" t="s">
        <v>88</v>
      </c>
      <c r="D65" s="220" t="s">
        <v>88</v>
      </c>
      <c r="E65" s="171" t="s">
        <v>28</v>
      </c>
      <c r="F65" s="171"/>
      <c r="G65" s="171"/>
      <c r="H65" s="171"/>
      <c r="I65" s="171"/>
      <c r="J65" s="171"/>
      <c r="K65" s="1"/>
      <c r="L65" s="227" t="s">
        <v>60</v>
      </c>
      <c r="M65" s="228"/>
      <c r="N65" s="228"/>
      <c r="O65" s="228"/>
      <c r="P65" s="228"/>
      <c r="Q65" s="224">
        <v>4</v>
      </c>
      <c r="R65" s="224"/>
      <c r="U65" s="1" t="s">
        <v>67</v>
      </c>
      <c r="V65" s="10">
        <f>W64-V64</f>
        <v>32</v>
      </c>
      <c r="W65" s="1"/>
      <c r="X65" s="1"/>
      <c r="Y65" s="1" t="s">
        <v>67</v>
      </c>
      <c r="Z65" s="21">
        <f>AA64-Z64</f>
        <v>5.333333333333333</v>
      </c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7.7" x14ac:dyDescent="0.55000000000000004">
      <c r="A66" s="219" t="s">
        <v>89</v>
      </c>
      <c r="B66" s="234" t="s">
        <v>89</v>
      </c>
      <c r="C66" s="234" t="s">
        <v>89</v>
      </c>
      <c r="D66" s="220" t="s">
        <v>89</v>
      </c>
      <c r="E66" s="173" t="s">
        <v>29</v>
      </c>
      <c r="F66" s="173"/>
      <c r="G66" s="173"/>
      <c r="H66" s="173"/>
      <c r="I66" s="173"/>
      <c r="J66" s="173"/>
      <c r="K66" s="1"/>
      <c r="L66" s="222" t="s">
        <v>61</v>
      </c>
      <c r="M66" s="223"/>
      <c r="N66" s="223"/>
      <c r="O66" s="223"/>
      <c r="P66" s="223"/>
      <c r="Q66" s="224">
        <v>2</v>
      </c>
      <c r="R66" s="224"/>
      <c r="U66" s="1" t="s">
        <v>68</v>
      </c>
      <c r="V66" s="10">
        <v>3</v>
      </c>
      <c r="W66" s="21">
        <f>V65/V66</f>
        <v>10.666666666666666</v>
      </c>
      <c r="X66" s="1"/>
      <c r="Y66" s="1" t="s">
        <v>68</v>
      </c>
      <c r="Z66" s="10">
        <v>3</v>
      </c>
      <c r="AA66" s="21">
        <f>Z65/Z66</f>
        <v>1.7777777777777777</v>
      </c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3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U67" s="235" t="s">
        <v>70</v>
      </c>
      <c r="V67" s="235"/>
      <c r="W67" s="235"/>
      <c r="X67" s="1"/>
      <c r="Y67" s="235" t="s">
        <v>70</v>
      </c>
      <c r="Z67" s="235"/>
      <c r="AA67" s="235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3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V68" s="1" t="s">
        <v>87</v>
      </c>
      <c r="W68" s="1"/>
      <c r="X68" s="1"/>
      <c r="Y68" s="1"/>
      <c r="Z68" s="1" t="s">
        <v>90</v>
      </c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7.7" x14ac:dyDescent="0.55000000000000004">
      <c r="A69" s="174" t="s">
        <v>22</v>
      </c>
      <c r="B69" s="174"/>
      <c r="C69" s="174"/>
      <c r="D69" s="174"/>
      <c r="E69" s="174" t="s">
        <v>24</v>
      </c>
      <c r="F69" s="174"/>
      <c r="G69" s="174"/>
      <c r="H69" s="174"/>
      <c r="I69" s="174"/>
      <c r="J69" s="174"/>
      <c r="K69" s="1"/>
      <c r="L69" s="229" t="s">
        <v>18</v>
      </c>
      <c r="M69" s="230"/>
      <c r="N69" s="230"/>
      <c r="O69" s="230"/>
      <c r="P69" s="230"/>
      <c r="Q69" s="16" t="s">
        <v>19</v>
      </c>
      <c r="R69" s="16"/>
      <c r="V69" s="1" t="s">
        <v>88</v>
      </c>
      <c r="W69" s="1"/>
      <c r="X69" s="1"/>
      <c r="Y69" s="1"/>
      <c r="Z69" s="1" t="s">
        <v>92</v>
      </c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7.7" x14ac:dyDescent="0.55000000000000004">
      <c r="A70" s="192" t="s">
        <v>90</v>
      </c>
      <c r="B70" s="192" t="s">
        <v>90</v>
      </c>
      <c r="C70" s="192" t="s">
        <v>90</v>
      </c>
      <c r="D70" s="192" t="s">
        <v>90</v>
      </c>
      <c r="E70" s="177" t="s">
        <v>26</v>
      </c>
      <c r="F70" s="177"/>
      <c r="G70" s="177"/>
      <c r="H70" s="177"/>
      <c r="I70" s="177"/>
      <c r="J70" s="177"/>
      <c r="K70" s="10"/>
      <c r="L70" s="225" t="s">
        <v>59</v>
      </c>
      <c r="M70" s="226"/>
      <c r="N70" s="226"/>
      <c r="O70" s="226"/>
      <c r="P70" s="226"/>
      <c r="Q70" s="224">
        <v>6</v>
      </c>
      <c r="R70" s="224"/>
      <c r="V70" s="1" t="s">
        <v>89</v>
      </c>
      <c r="W70" s="1"/>
      <c r="X70" s="1"/>
      <c r="Y70" s="1"/>
      <c r="Z70" s="1" t="s">
        <v>91</v>
      </c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7.7" x14ac:dyDescent="0.55000000000000004">
      <c r="A71" s="192" t="s">
        <v>92</v>
      </c>
      <c r="B71" s="192" t="s">
        <v>92</v>
      </c>
      <c r="C71" s="192" t="s">
        <v>92</v>
      </c>
      <c r="D71" s="192" t="s">
        <v>92</v>
      </c>
      <c r="E71" s="171" t="s">
        <v>28</v>
      </c>
      <c r="F71" s="171"/>
      <c r="G71" s="171"/>
      <c r="H71" s="171"/>
      <c r="I71" s="171"/>
      <c r="J71" s="171"/>
      <c r="K71" s="10"/>
      <c r="L71" s="227" t="s">
        <v>60</v>
      </c>
      <c r="M71" s="228"/>
      <c r="N71" s="228"/>
      <c r="O71" s="228"/>
      <c r="P71" s="228"/>
      <c r="Q71" s="224">
        <v>4</v>
      </c>
      <c r="R71" s="224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7.7" x14ac:dyDescent="0.55000000000000004">
      <c r="A72" s="192" t="s">
        <v>91</v>
      </c>
      <c r="B72" s="192" t="s">
        <v>91</v>
      </c>
      <c r="C72" s="192" t="s">
        <v>91</v>
      </c>
      <c r="D72" s="192" t="s">
        <v>91</v>
      </c>
      <c r="E72" s="173" t="s">
        <v>29</v>
      </c>
      <c r="F72" s="173"/>
      <c r="G72" s="173"/>
      <c r="H72" s="173"/>
      <c r="I72" s="173"/>
      <c r="J72" s="173"/>
      <c r="K72" s="10"/>
      <c r="L72" s="222" t="s">
        <v>61</v>
      </c>
      <c r="M72" s="223"/>
      <c r="N72" s="223"/>
      <c r="O72" s="223"/>
      <c r="P72" s="223"/>
      <c r="Q72" s="224">
        <v>2</v>
      </c>
      <c r="R72" s="224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3" x14ac:dyDescent="0.5500000000000000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7.399999999999999" x14ac:dyDescent="0.55000000000000004">
      <c r="A74" s="1"/>
      <c r="B74" s="238" t="s">
        <v>17</v>
      </c>
      <c r="C74" s="238"/>
      <c r="D74" s="238"/>
      <c r="E74" s="238"/>
      <c r="F74" s="238"/>
      <c r="G74" s="238"/>
      <c r="H74" s="1"/>
      <c r="I74" s="1"/>
      <c r="J74" s="1"/>
      <c r="K74" s="1"/>
      <c r="L74" s="1"/>
      <c r="M74" s="1"/>
      <c r="N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7.399999999999999" x14ac:dyDescent="0.55000000000000004">
      <c r="A75" s="1"/>
      <c r="B75" s="214" t="s">
        <v>18</v>
      </c>
      <c r="C75" s="214"/>
      <c r="D75" s="214"/>
      <c r="E75" s="214"/>
      <c r="F75" s="192" t="s">
        <v>21</v>
      </c>
      <c r="G75" s="192"/>
      <c r="H75" s="17">
        <v>1</v>
      </c>
      <c r="I75" s="1"/>
      <c r="J75" s="1"/>
      <c r="K75" s="1"/>
      <c r="L75" s="1"/>
      <c r="M75" s="1"/>
      <c r="N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7.399999999999999" x14ac:dyDescent="0.55000000000000004">
      <c r="A76" s="1"/>
      <c r="B76" s="162"/>
      <c r="C76" s="162"/>
      <c r="D76" s="162"/>
      <c r="E76" s="162"/>
      <c r="F76" s="3"/>
      <c r="G76" s="3"/>
      <c r="H76" s="1"/>
      <c r="I76" s="1"/>
      <c r="J76" s="1"/>
      <c r="K76" s="1"/>
      <c r="L76" s="1"/>
      <c r="M76" s="1"/>
      <c r="N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7.399999999999999" x14ac:dyDescent="0.55000000000000004">
      <c r="A77" s="1"/>
      <c r="B77" s="192" t="s">
        <v>22</v>
      </c>
      <c r="C77" s="192"/>
      <c r="D77" s="192"/>
      <c r="E77" s="192"/>
      <c r="F77" s="232">
        <f>H75*R13</f>
        <v>8.0000000000000018</v>
      </c>
      <c r="G77" s="232"/>
      <c r="H77" s="22"/>
      <c r="I77" s="1"/>
      <c r="J77" s="1"/>
      <c r="K77" s="1"/>
      <c r="L77" s="1"/>
      <c r="M77" s="1"/>
      <c r="N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3" x14ac:dyDescent="0.55000000000000004">
      <c r="A78" s="1"/>
      <c r="I78" s="1"/>
      <c r="J78" s="1"/>
      <c r="K78" s="1"/>
      <c r="L78" s="1"/>
      <c r="M78" s="1"/>
      <c r="N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7.399999999999999" x14ac:dyDescent="0.55000000000000004">
      <c r="A79" s="1"/>
      <c r="B79" s="214" t="s">
        <v>18</v>
      </c>
      <c r="C79" s="214"/>
      <c r="D79" s="214"/>
      <c r="E79" s="214"/>
      <c r="F79" s="192" t="s">
        <v>21</v>
      </c>
      <c r="G79" s="192"/>
      <c r="H79" s="20">
        <v>2</v>
      </c>
      <c r="I79" s="1"/>
      <c r="J79" s="1"/>
      <c r="K79" s="1"/>
      <c r="L79" s="1"/>
      <c r="M79" s="1"/>
      <c r="N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3" x14ac:dyDescent="0.5500000000000000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7.399999999999999" x14ac:dyDescent="0.55000000000000004">
      <c r="B81" s="192" t="s">
        <v>22</v>
      </c>
      <c r="C81" s="192"/>
      <c r="D81" s="192"/>
      <c r="E81" s="192"/>
      <c r="F81" s="236">
        <f>H79*R14</f>
        <v>2.6666666666666674</v>
      </c>
      <c r="G81" s="236"/>
      <c r="H81" s="1"/>
      <c r="I81" s="1"/>
      <c r="J81" s="1"/>
      <c r="K81" s="1"/>
      <c r="L81" s="1"/>
      <c r="M81" s="1"/>
      <c r="N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3" x14ac:dyDescent="0.5500000000000000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7.399999999999999" x14ac:dyDescent="0.55000000000000004">
      <c r="A83" s="1"/>
      <c r="B83" s="22"/>
      <c r="C83" s="22"/>
      <c r="D83" s="22"/>
      <c r="E83" s="22"/>
      <c r="F83" s="22"/>
      <c r="G83" s="22"/>
      <c r="H83" s="1"/>
      <c r="I83" s="1"/>
      <c r="J83" s="1"/>
      <c r="K83" s="1"/>
      <c r="L83" s="1"/>
      <c r="M83" s="1"/>
      <c r="N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3" x14ac:dyDescent="0.5500000000000000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3" x14ac:dyDescent="0.5500000000000000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3" x14ac:dyDescent="0.5500000000000000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3" x14ac:dyDescent="0.5500000000000000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3" x14ac:dyDescent="0.5500000000000000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3" x14ac:dyDescent="0.5500000000000000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3" x14ac:dyDescent="0.5500000000000000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3" x14ac:dyDescent="0.5500000000000000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3" x14ac:dyDescent="0.5500000000000000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3" x14ac:dyDescent="0.5500000000000000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3" x14ac:dyDescent="0.5500000000000000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3" x14ac:dyDescent="0.5500000000000000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3" x14ac:dyDescent="0.5500000000000000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3" x14ac:dyDescent="0.5500000000000000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3" x14ac:dyDescent="0.5500000000000000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38" ht="15.3" x14ac:dyDescent="0.5500000000000000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38" ht="15.3" x14ac:dyDescent="0.5500000000000000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38" ht="15.3" x14ac:dyDescent="0.5500000000000000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38" ht="15.3" x14ac:dyDescent="0.5500000000000000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38" ht="15.3" x14ac:dyDescent="0.5500000000000000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</sheetData>
  <mergeCells count="169">
    <mergeCell ref="B81:E81"/>
    <mergeCell ref="F81:G81"/>
    <mergeCell ref="R14:S14"/>
    <mergeCell ref="B74:G74"/>
    <mergeCell ref="B75:E75"/>
    <mergeCell ref="F75:G75"/>
    <mergeCell ref="B76:E76"/>
    <mergeCell ref="B79:E79"/>
    <mergeCell ref="F79:G79"/>
    <mergeCell ref="B77:E77"/>
    <mergeCell ref="F77:G77"/>
    <mergeCell ref="A71:D71"/>
    <mergeCell ref="E71:J71"/>
    <mergeCell ref="L71:P71"/>
    <mergeCell ref="Q71:R71"/>
    <mergeCell ref="A72:D72"/>
    <mergeCell ref="E72:J72"/>
    <mergeCell ref="L72:P72"/>
    <mergeCell ref="Q72:R72"/>
    <mergeCell ref="A70:D70"/>
    <mergeCell ref="E70:J70"/>
    <mergeCell ref="L70:P70"/>
    <mergeCell ref="Q70:R70"/>
    <mergeCell ref="J61:K61"/>
    <mergeCell ref="Y67:AA67"/>
    <mergeCell ref="U67:W67"/>
    <mergeCell ref="A66:D66"/>
    <mergeCell ref="E66:J66"/>
    <mergeCell ref="L66:P66"/>
    <mergeCell ref="Q66:R66"/>
    <mergeCell ref="A69:D69"/>
    <mergeCell ref="E69:J69"/>
    <mergeCell ref="L69:P69"/>
    <mergeCell ref="A63:D63"/>
    <mergeCell ref="E63:J63"/>
    <mergeCell ref="L63:P63"/>
    <mergeCell ref="A64:D64"/>
    <mergeCell ref="E64:J64"/>
    <mergeCell ref="L64:P64"/>
    <mergeCell ref="Q64:R64"/>
    <mergeCell ref="A65:D65"/>
    <mergeCell ref="E65:J65"/>
    <mergeCell ref="L65:P65"/>
    <mergeCell ref="Q65:R65"/>
    <mergeCell ref="B8:H8"/>
    <mergeCell ref="I8:N8"/>
    <mergeCell ref="P8:Q8"/>
    <mergeCell ref="R8:S8"/>
    <mergeCell ref="B9:H9"/>
    <mergeCell ref="I9:N9"/>
    <mergeCell ref="P9:Q9"/>
    <mergeCell ref="R9:S9"/>
    <mergeCell ref="B6:H6"/>
    <mergeCell ref="I6:O6"/>
    <mergeCell ref="P6:Q6"/>
    <mergeCell ref="R6:S6"/>
    <mergeCell ref="B7:H7"/>
    <mergeCell ref="I7:N7"/>
    <mergeCell ref="P7:Q7"/>
    <mergeCell ref="R7:S7"/>
    <mergeCell ref="B12:H12"/>
    <mergeCell ref="I12:N12"/>
    <mergeCell ref="P12:Q12"/>
    <mergeCell ref="R12:S12"/>
    <mergeCell ref="A13:Q13"/>
    <mergeCell ref="R13:S13"/>
    <mergeCell ref="B10:H10"/>
    <mergeCell ref="I10:N10"/>
    <mergeCell ref="P10:Q10"/>
    <mergeCell ref="R10:S10"/>
    <mergeCell ref="B11:H11"/>
    <mergeCell ref="I11:N11"/>
    <mergeCell ref="P11:Q11"/>
    <mergeCell ref="R11:S11"/>
    <mergeCell ref="B19:F19"/>
    <mergeCell ref="G19:H19"/>
    <mergeCell ref="J19:N19"/>
    <mergeCell ref="O19:P19"/>
    <mergeCell ref="B20:F20"/>
    <mergeCell ref="G20:H20"/>
    <mergeCell ref="J20:N20"/>
    <mergeCell ref="O20:P20"/>
    <mergeCell ref="B17:F17"/>
    <mergeCell ref="J17:N17"/>
    <mergeCell ref="B18:F18"/>
    <mergeCell ref="G18:H18"/>
    <mergeCell ref="J18:N18"/>
    <mergeCell ref="O18:P18"/>
    <mergeCell ref="Z32:AB32"/>
    <mergeCell ref="U33:U34"/>
    <mergeCell ref="V33:W33"/>
    <mergeCell ref="Z33:Z34"/>
    <mergeCell ref="AA33:AB33"/>
    <mergeCell ref="A34:D34"/>
    <mergeCell ref="E34:F34"/>
    <mergeCell ref="A25:Q25"/>
    <mergeCell ref="A27:F27"/>
    <mergeCell ref="A28:D28"/>
    <mergeCell ref="E28:F28"/>
    <mergeCell ref="A29:D29"/>
    <mergeCell ref="A30:D30"/>
    <mergeCell ref="E30:F30"/>
    <mergeCell ref="A39:D39"/>
    <mergeCell ref="E39:J39"/>
    <mergeCell ref="L39:P39"/>
    <mergeCell ref="A40:D40"/>
    <mergeCell ref="E40:J40"/>
    <mergeCell ref="L40:P40"/>
    <mergeCell ref="A32:D32"/>
    <mergeCell ref="E32:F32"/>
    <mergeCell ref="U32:W32"/>
    <mergeCell ref="L43:M43"/>
    <mergeCell ref="A44:D44"/>
    <mergeCell ref="E44:J44"/>
    <mergeCell ref="L44:P44"/>
    <mergeCell ref="A45:D45"/>
    <mergeCell ref="E45:J45"/>
    <mergeCell ref="L45:P45"/>
    <mergeCell ref="Q40:R40"/>
    <mergeCell ref="A41:D41"/>
    <mergeCell ref="E41:J41"/>
    <mergeCell ref="L41:P41"/>
    <mergeCell ref="Q41:R41"/>
    <mergeCell ref="A42:D42"/>
    <mergeCell ref="E42:J42"/>
    <mergeCell ref="L42:P42"/>
    <mergeCell ref="Q42:R42"/>
    <mergeCell ref="Z50:AB50"/>
    <mergeCell ref="A47:D47"/>
    <mergeCell ref="E47:J47"/>
    <mergeCell ref="L47:P47"/>
    <mergeCell ref="Q47:R47"/>
    <mergeCell ref="A50:D50"/>
    <mergeCell ref="E50:J50"/>
    <mergeCell ref="L50:P50"/>
    <mergeCell ref="Q45:R45"/>
    <mergeCell ref="A46:D46"/>
    <mergeCell ref="E46:J46"/>
    <mergeCell ref="L46:P46"/>
    <mergeCell ref="Q46:R46"/>
    <mergeCell ref="U50:W50"/>
    <mergeCell ref="A53:D53"/>
    <mergeCell ref="E53:J53"/>
    <mergeCell ref="L53:P53"/>
    <mergeCell ref="Q53:R53"/>
    <mergeCell ref="L54:M54"/>
    <mergeCell ref="A55:D55"/>
    <mergeCell ref="E55:J55"/>
    <mergeCell ref="L55:P55"/>
    <mergeCell ref="A51:D51"/>
    <mergeCell ref="E51:J51"/>
    <mergeCell ref="L51:P51"/>
    <mergeCell ref="Q51:R51"/>
    <mergeCell ref="A52:D52"/>
    <mergeCell ref="E52:J52"/>
    <mergeCell ref="L52:P52"/>
    <mergeCell ref="Q52:R52"/>
    <mergeCell ref="A58:D58"/>
    <mergeCell ref="E58:J58"/>
    <mergeCell ref="L58:P58"/>
    <mergeCell ref="Q58:R58"/>
    <mergeCell ref="A56:D56"/>
    <mergeCell ref="E56:J56"/>
    <mergeCell ref="L56:P56"/>
    <mergeCell ref="Q56:R56"/>
    <mergeCell ref="A57:D57"/>
    <mergeCell ref="E57:J57"/>
    <mergeCell ref="L57:P57"/>
    <mergeCell ref="Q57:R57"/>
  </mergeCells>
  <dataValidations count="9">
    <dataValidation type="list" allowBlank="1" showInputMessage="1" showErrorMessage="1" sqref="G30 H79" xr:uid="{DAB4C4EB-5D48-468E-98A3-403039FCF1F5}">
      <formula1>$AC$10:$AC$12</formula1>
    </dataValidation>
    <dataValidation type="list" allowBlank="1" showInputMessage="1" showErrorMessage="1" sqref="I7" xr:uid="{EA6F8D0A-9E42-42C1-87E1-A6961F45A51C}">
      <formula1>$U$4:$U$7</formula1>
    </dataValidation>
    <dataValidation type="list" allowBlank="1" showInputMessage="1" showErrorMessage="1" sqref="I8" xr:uid="{58E00B00-9EE2-4C9D-B150-5C11E76FC0BE}">
      <formula1>$U$8:$U$11</formula1>
    </dataValidation>
    <dataValidation type="list" allowBlank="1" showInputMessage="1" showErrorMessage="1" sqref="I9" xr:uid="{01D76260-3B52-4AEC-BF12-12A0D3D28BE4}">
      <formula1>$U$12:$U$15</formula1>
    </dataValidation>
    <dataValidation type="list" allowBlank="1" showInputMessage="1" showErrorMessage="1" sqref="I10" xr:uid="{805C2823-C55C-4354-A5A1-3FE8ECAEF953}">
      <formula1>$U$16:$U$19</formula1>
    </dataValidation>
    <dataValidation type="list" allowBlank="1" showInputMessage="1" showErrorMessage="1" sqref="I11" xr:uid="{015396B1-AA9A-40A3-A030-9A0F70E2964E}">
      <formula1>$U$20:$U$23</formula1>
    </dataValidation>
    <dataValidation type="list" allowBlank="1" showInputMessage="1" showErrorMessage="1" sqref="I12" xr:uid="{CBBB9317-13C7-48C8-90C8-D01164F0A693}">
      <formula1>$U$24:$U$27</formula1>
    </dataValidation>
    <dataValidation type="list" allowBlank="1" showInputMessage="1" showErrorMessage="1" sqref="E28 E30 F75 F79" xr:uid="{AB883F3A-BAF4-44CA-AB17-0A5F2FA77ED7}">
      <formula1>$AB$6:$AB$8</formula1>
    </dataValidation>
    <dataValidation type="list" allowBlank="1" showInputMessage="1" showErrorMessage="1" sqref="E29 G28 F76 H75" xr:uid="{42871865-37EC-4496-A36B-98A873FF324C}">
      <formula1>$AB$10:$AB$12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11FB5-03B8-48CB-9BBB-F46DB156F00C}">
  <dimension ref="A1:AM103"/>
  <sheetViews>
    <sheetView topLeftCell="A13" workbookViewId="0">
      <selection activeCell="R13" sqref="R13:S13"/>
    </sheetView>
  </sheetViews>
  <sheetFormatPr baseColWidth="10" defaultColWidth="11.41796875" defaultRowHeight="14.4" x14ac:dyDescent="0.55000000000000004"/>
  <cols>
    <col min="1" max="5" width="4.68359375" customWidth="1"/>
    <col min="6" max="6" width="3.89453125" customWidth="1"/>
    <col min="7" max="7" width="4.68359375" customWidth="1"/>
    <col min="8" max="8" width="5.89453125" customWidth="1"/>
    <col min="9" max="14" width="8.68359375" customWidth="1"/>
    <col min="15" max="20" width="4.68359375" customWidth="1"/>
  </cols>
  <sheetData>
    <row r="1" spans="1:29" ht="17.399999999999999" x14ac:dyDescent="0.55000000000000004">
      <c r="A1" s="3" t="s">
        <v>0</v>
      </c>
      <c r="B1" s="3"/>
      <c r="C1" s="3"/>
      <c r="D1" s="3"/>
      <c r="E1" s="3"/>
      <c r="F1" s="3"/>
      <c r="G1" s="3"/>
      <c r="H1" s="1"/>
      <c r="I1" s="1"/>
      <c r="J1" s="1"/>
      <c r="K1" s="1"/>
      <c r="L1" s="1"/>
      <c r="M1" s="1"/>
      <c r="N1" s="1"/>
    </row>
    <row r="2" spans="1:29" ht="15.3" x14ac:dyDescent="0.5500000000000000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29" ht="15.3" x14ac:dyDescent="0.5500000000000000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29" ht="17.399999999999999" x14ac:dyDescent="0.55000000000000004">
      <c r="A4" s="3" t="s">
        <v>1</v>
      </c>
      <c r="B4" s="3"/>
      <c r="C4" s="3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U4" s="1" t="s">
        <v>30</v>
      </c>
    </row>
    <row r="5" spans="1:29" ht="15.3" x14ac:dyDescent="0.55000000000000004">
      <c r="A5" s="1"/>
      <c r="B5" s="1"/>
      <c r="C5" s="1"/>
      <c r="D5" s="1"/>
      <c r="E5" s="1"/>
      <c r="F5" s="1"/>
      <c r="G5" s="1"/>
      <c r="H5" s="1"/>
      <c r="I5" s="1"/>
      <c r="J5" s="1"/>
      <c r="L5" s="1"/>
      <c r="M5" s="1"/>
      <c r="N5" s="1"/>
      <c r="U5" s="1" t="s">
        <v>31</v>
      </c>
    </row>
    <row r="6" spans="1:29" ht="17.399999999999999" x14ac:dyDescent="0.55000000000000004">
      <c r="A6" s="4" t="s">
        <v>9</v>
      </c>
      <c r="B6" s="192" t="s">
        <v>2</v>
      </c>
      <c r="C6" s="192"/>
      <c r="D6" s="192"/>
      <c r="E6" s="192"/>
      <c r="F6" s="192"/>
      <c r="G6" s="192"/>
      <c r="H6" s="192"/>
      <c r="I6" s="192" t="s">
        <v>10</v>
      </c>
      <c r="J6" s="192"/>
      <c r="K6" s="192"/>
      <c r="L6" s="192"/>
      <c r="M6" s="192"/>
      <c r="N6" s="192"/>
      <c r="O6" s="192"/>
      <c r="P6" s="192" t="s">
        <v>11</v>
      </c>
      <c r="Q6" s="192"/>
      <c r="R6" s="192" t="s">
        <v>12</v>
      </c>
      <c r="S6" s="192"/>
      <c r="U6" s="1" t="s">
        <v>32</v>
      </c>
      <c r="AB6" t="s">
        <v>20</v>
      </c>
    </row>
    <row r="7" spans="1:29" ht="15.3" x14ac:dyDescent="0.55000000000000004">
      <c r="A7" s="9">
        <v>1</v>
      </c>
      <c r="B7" s="189" t="s">
        <v>3</v>
      </c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5">
        <v>8</v>
      </c>
      <c r="P7" s="210">
        <v>0.16</v>
      </c>
      <c r="Q7" s="210"/>
      <c r="R7" s="143">
        <f t="shared" ref="R7:R12" si="0">O7*P7</f>
        <v>1.28</v>
      </c>
      <c r="S7" s="143"/>
      <c r="U7" s="1" t="s">
        <v>33</v>
      </c>
      <c r="AB7" t="s">
        <v>21</v>
      </c>
    </row>
    <row r="8" spans="1:29" ht="30" customHeight="1" x14ac:dyDescent="0.55000000000000004">
      <c r="A8" s="9">
        <v>2</v>
      </c>
      <c r="B8" s="186" t="s">
        <v>4</v>
      </c>
      <c r="C8" s="186"/>
      <c r="D8" s="186"/>
      <c r="E8" s="186"/>
      <c r="F8" s="186"/>
      <c r="G8" s="186"/>
      <c r="H8" s="186"/>
      <c r="I8" s="188"/>
      <c r="J8" s="188"/>
      <c r="K8" s="188"/>
      <c r="L8" s="188"/>
      <c r="M8" s="188"/>
      <c r="N8" s="188"/>
      <c r="O8" s="5">
        <v>8</v>
      </c>
      <c r="P8" s="210">
        <v>0.09</v>
      </c>
      <c r="Q8" s="210"/>
      <c r="R8" s="143">
        <f t="shared" si="0"/>
        <v>0.72</v>
      </c>
      <c r="S8" s="143"/>
      <c r="U8" s="1" t="s">
        <v>34</v>
      </c>
      <c r="AB8" t="s">
        <v>16</v>
      </c>
    </row>
    <row r="9" spans="1:29" ht="15.3" x14ac:dyDescent="0.55000000000000004">
      <c r="A9" s="9">
        <v>3</v>
      </c>
      <c r="B9" s="189" t="s">
        <v>5</v>
      </c>
      <c r="C9" s="189"/>
      <c r="D9" s="189"/>
      <c r="E9" s="189"/>
      <c r="F9" s="189"/>
      <c r="G9" s="189"/>
      <c r="H9" s="189"/>
      <c r="I9" s="169"/>
      <c r="J9" s="169"/>
      <c r="K9" s="169"/>
      <c r="L9" s="169"/>
      <c r="M9" s="169"/>
      <c r="N9" s="169"/>
      <c r="O9" s="5">
        <v>8</v>
      </c>
      <c r="P9" s="210">
        <v>0.56000000000000005</v>
      </c>
      <c r="Q9" s="210"/>
      <c r="R9" s="143">
        <f t="shared" si="0"/>
        <v>4.4800000000000004</v>
      </c>
      <c r="S9" s="143"/>
      <c r="U9" s="1" t="s">
        <v>35</v>
      </c>
    </row>
    <row r="10" spans="1:29" ht="15.3" x14ac:dyDescent="0.55000000000000004">
      <c r="A10" s="9">
        <v>4</v>
      </c>
      <c r="B10" s="189" t="s">
        <v>6</v>
      </c>
      <c r="C10" s="189"/>
      <c r="D10" s="189"/>
      <c r="E10" s="189"/>
      <c r="F10" s="189"/>
      <c r="G10" s="189"/>
      <c r="H10" s="189"/>
      <c r="I10" s="169"/>
      <c r="J10" s="169"/>
      <c r="K10" s="169"/>
      <c r="L10" s="169"/>
      <c r="M10" s="169"/>
      <c r="N10" s="169"/>
      <c r="O10" s="5">
        <v>8</v>
      </c>
      <c r="P10" s="210">
        <v>0.05</v>
      </c>
      <c r="Q10" s="210"/>
      <c r="R10" s="143">
        <f t="shared" si="0"/>
        <v>0.4</v>
      </c>
      <c r="S10" s="143"/>
      <c r="U10" s="1" t="s">
        <v>36</v>
      </c>
      <c r="AA10">
        <v>8</v>
      </c>
      <c r="AB10">
        <v>1</v>
      </c>
      <c r="AC10">
        <v>2</v>
      </c>
    </row>
    <row r="11" spans="1:29" ht="30.9" customHeight="1" x14ac:dyDescent="0.55000000000000004">
      <c r="A11" s="9">
        <v>5</v>
      </c>
      <c r="B11" s="185" t="s">
        <v>7</v>
      </c>
      <c r="C11" s="185"/>
      <c r="D11" s="185"/>
      <c r="E11" s="185"/>
      <c r="F11" s="185"/>
      <c r="G11" s="185"/>
      <c r="H11" s="185"/>
      <c r="I11" s="186"/>
      <c r="J11" s="186"/>
      <c r="K11" s="186"/>
      <c r="L11" s="186"/>
      <c r="M11" s="186"/>
      <c r="N11" s="186"/>
      <c r="O11" s="5">
        <v>8</v>
      </c>
      <c r="P11" s="210">
        <v>0.06</v>
      </c>
      <c r="Q11" s="210"/>
      <c r="R11" s="143">
        <f t="shared" si="0"/>
        <v>0.48</v>
      </c>
      <c r="S11" s="143"/>
      <c r="U11" s="1" t="s">
        <v>37</v>
      </c>
      <c r="AA11">
        <v>6</v>
      </c>
      <c r="AB11">
        <v>2</v>
      </c>
      <c r="AC11">
        <v>4</v>
      </c>
    </row>
    <row r="12" spans="1:29" ht="33" customHeight="1" x14ac:dyDescent="0.55000000000000004">
      <c r="A12" s="9">
        <v>6</v>
      </c>
      <c r="B12" s="185" t="s">
        <v>58</v>
      </c>
      <c r="C12" s="185"/>
      <c r="D12" s="185"/>
      <c r="E12" s="185"/>
      <c r="F12" s="185"/>
      <c r="G12" s="185"/>
      <c r="H12" s="185"/>
      <c r="I12" s="188"/>
      <c r="J12" s="188"/>
      <c r="K12" s="188"/>
      <c r="L12" s="188"/>
      <c r="M12" s="188"/>
      <c r="N12" s="188"/>
      <c r="O12" s="5">
        <v>8</v>
      </c>
      <c r="P12" s="210">
        <v>0.08</v>
      </c>
      <c r="Q12" s="210"/>
      <c r="R12" s="143">
        <f t="shared" si="0"/>
        <v>0.64</v>
      </c>
      <c r="S12" s="143"/>
      <c r="U12" s="1" t="s">
        <v>53</v>
      </c>
      <c r="AA12">
        <v>4</v>
      </c>
      <c r="AB12">
        <v>3</v>
      </c>
      <c r="AC12">
        <v>6</v>
      </c>
    </row>
    <row r="13" spans="1:29" ht="17.399999999999999" x14ac:dyDescent="0.55000000000000004">
      <c r="A13" s="216" t="s">
        <v>15</v>
      </c>
      <c r="B13" s="217"/>
      <c r="C13" s="217"/>
      <c r="D13" s="217"/>
      <c r="E13" s="217"/>
      <c r="F13" s="217"/>
      <c r="G13" s="217"/>
      <c r="H13" s="217"/>
      <c r="I13" s="217"/>
      <c r="J13" s="217"/>
      <c r="K13" s="217"/>
      <c r="L13" s="217"/>
      <c r="M13" s="217"/>
      <c r="N13" s="217"/>
      <c r="O13" s="217"/>
      <c r="P13" s="217"/>
      <c r="Q13" s="218"/>
      <c r="R13" s="219">
        <f>SUM(R7:R12)</f>
        <v>8.0000000000000018</v>
      </c>
      <c r="S13" s="220"/>
      <c r="U13" s="1" t="s">
        <v>38</v>
      </c>
      <c r="AA13" s="13">
        <v>2</v>
      </c>
    </row>
    <row r="14" spans="1:29" ht="15.3" x14ac:dyDescent="0.55000000000000004">
      <c r="A14" s="1"/>
      <c r="B14" s="1"/>
      <c r="C14" s="1"/>
      <c r="D14" s="1"/>
      <c r="E14" s="1"/>
      <c r="F14" s="1"/>
      <c r="G14" s="1"/>
      <c r="H14" s="1"/>
      <c r="I14" s="1"/>
      <c r="J14" s="1"/>
      <c r="L14" s="1"/>
      <c r="M14" s="1"/>
      <c r="N14" s="1"/>
      <c r="U14" s="1" t="s">
        <v>39</v>
      </c>
    </row>
    <row r="15" spans="1:29" ht="17.399999999999999" x14ac:dyDescent="0.55000000000000004">
      <c r="A15" s="3" t="s">
        <v>13</v>
      </c>
      <c r="B15" s="1"/>
      <c r="C15" s="1"/>
      <c r="D15" s="1"/>
      <c r="E15" s="1"/>
      <c r="F15" s="1"/>
      <c r="G15" s="1"/>
      <c r="H15" s="1"/>
      <c r="I15" s="1"/>
      <c r="J15" s="1"/>
      <c r="L15" s="1"/>
      <c r="M15" s="1"/>
      <c r="N15" s="1"/>
      <c r="U15" s="1" t="s">
        <v>40</v>
      </c>
    </row>
    <row r="16" spans="1:29" ht="15.3" x14ac:dyDescent="0.55000000000000004">
      <c r="A16" s="1"/>
      <c r="B16" s="1"/>
      <c r="C16" s="1"/>
      <c r="D16" s="1"/>
      <c r="E16" s="1"/>
      <c r="F16" s="1"/>
      <c r="G16" s="1"/>
      <c r="H16" s="1"/>
      <c r="I16" s="1"/>
      <c r="J16" s="1"/>
      <c r="L16" s="1"/>
      <c r="M16" s="1"/>
      <c r="N16" s="1"/>
      <c r="U16" s="1" t="s">
        <v>41</v>
      </c>
    </row>
    <row r="17" spans="1:39" ht="17.7" x14ac:dyDescent="0.55000000000000004">
      <c r="B17" s="229" t="s">
        <v>18</v>
      </c>
      <c r="C17" s="230"/>
      <c r="D17" s="230"/>
      <c r="E17" s="230"/>
      <c r="F17" s="230"/>
      <c r="G17" s="16" t="s">
        <v>19</v>
      </c>
      <c r="H17" s="16"/>
      <c r="J17" s="229" t="s">
        <v>18</v>
      </c>
      <c r="K17" s="230"/>
      <c r="L17" s="230"/>
      <c r="M17" s="230"/>
      <c r="N17" s="230"/>
      <c r="O17" s="16" t="s">
        <v>19</v>
      </c>
      <c r="P17" s="16"/>
      <c r="U17" s="1" t="s">
        <v>42</v>
      </c>
    </row>
    <row r="18" spans="1:39" ht="15.75" customHeight="1" x14ac:dyDescent="0.55000000000000004">
      <c r="B18" s="225" t="s">
        <v>59</v>
      </c>
      <c r="C18" s="226"/>
      <c r="D18" s="226"/>
      <c r="E18" s="226"/>
      <c r="F18" s="226"/>
      <c r="G18" s="224">
        <v>3</v>
      </c>
      <c r="H18" s="224"/>
      <c r="J18" s="225" t="s">
        <v>59</v>
      </c>
      <c r="K18" s="226"/>
      <c r="L18" s="226"/>
      <c r="M18" s="226"/>
      <c r="N18" s="226"/>
      <c r="O18" s="224">
        <v>6</v>
      </c>
      <c r="P18" s="224"/>
      <c r="U18" s="1" t="s">
        <v>43</v>
      </c>
    </row>
    <row r="19" spans="1:39" ht="15.75" customHeight="1" x14ac:dyDescent="0.55000000000000004">
      <c r="B19" s="227" t="s">
        <v>60</v>
      </c>
      <c r="C19" s="228"/>
      <c r="D19" s="228"/>
      <c r="E19" s="228"/>
      <c r="F19" s="228"/>
      <c r="G19" s="224">
        <v>2</v>
      </c>
      <c r="H19" s="224"/>
      <c r="J19" s="227" t="s">
        <v>60</v>
      </c>
      <c r="K19" s="228"/>
      <c r="L19" s="228"/>
      <c r="M19" s="228"/>
      <c r="N19" s="228"/>
      <c r="O19" s="224">
        <v>4</v>
      </c>
      <c r="P19" s="224"/>
      <c r="U19" s="1" t="s">
        <v>44</v>
      </c>
    </row>
    <row r="20" spans="1:39" ht="17.7" x14ac:dyDescent="0.55000000000000004">
      <c r="B20" s="222" t="s">
        <v>61</v>
      </c>
      <c r="C20" s="223"/>
      <c r="D20" s="223"/>
      <c r="E20" s="223"/>
      <c r="F20" s="223"/>
      <c r="G20" s="224">
        <v>1</v>
      </c>
      <c r="H20" s="224"/>
      <c r="J20" s="222" t="s">
        <v>61</v>
      </c>
      <c r="K20" s="223"/>
      <c r="L20" s="223"/>
      <c r="M20" s="223"/>
      <c r="N20" s="223"/>
      <c r="O20" s="224">
        <v>2</v>
      </c>
      <c r="P20" s="224"/>
      <c r="U20" s="1" t="s">
        <v>45</v>
      </c>
    </row>
    <row r="21" spans="1:39" ht="15.3" x14ac:dyDescent="0.55000000000000004">
      <c r="U21" s="1" t="s">
        <v>46</v>
      </c>
    </row>
    <row r="22" spans="1:39" ht="15.3" x14ac:dyDescent="0.55000000000000004">
      <c r="U22" s="1" t="s">
        <v>47</v>
      </c>
    </row>
    <row r="23" spans="1:39" ht="15.3" x14ac:dyDescent="0.55000000000000004">
      <c r="U23" s="1" t="s">
        <v>48</v>
      </c>
    </row>
    <row r="24" spans="1:39" ht="15.3" x14ac:dyDescent="0.55000000000000004">
      <c r="U24" s="1" t="s">
        <v>49</v>
      </c>
    </row>
    <row r="25" spans="1:39" ht="17.399999999999999" x14ac:dyDescent="0.55000000000000004">
      <c r="A25" s="213" t="s">
        <v>14</v>
      </c>
      <c r="B25" s="213"/>
      <c r="C25" s="213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13"/>
      <c r="U25" s="1" t="s">
        <v>50</v>
      </c>
    </row>
    <row r="26" spans="1:39" ht="15.3" x14ac:dyDescent="0.55000000000000004">
      <c r="A26" s="1"/>
      <c r="B26" s="1"/>
      <c r="C26" s="1"/>
      <c r="D26" s="1"/>
      <c r="E26" s="1"/>
      <c r="F26" s="1"/>
      <c r="G26" s="1"/>
      <c r="H26" s="1"/>
      <c r="I26" s="1"/>
      <c r="J26" s="1"/>
      <c r="L26" s="1"/>
      <c r="M26" s="1"/>
      <c r="N26" s="1"/>
      <c r="U26" s="1" t="s">
        <v>51</v>
      </c>
    </row>
    <row r="27" spans="1:39" ht="17.399999999999999" x14ac:dyDescent="0.55000000000000004">
      <c r="A27" s="212" t="s">
        <v>17</v>
      </c>
      <c r="B27" s="212"/>
      <c r="C27" s="212"/>
      <c r="D27" s="212"/>
      <c r="E27" s="212"/>
      <c r="F27" s="212"/>
      <c r="G27" s="1"/>
      <c r="H27" s="1"/>
      <c r="I27" s="1"/>
      <c r="J27" s="1"/>
      <c r="L27" s="1"/>
      <c r="M27" s="1"/>
      <c r="N27" s="1"/>
      <c r="U27" s="1" t="s">
        <v>52</v>
      </c>
    </row>
    <row r="28" spans="1:39" ht="17.399999999999999" x14ac:dyDescent="0.55000000000000004">
      <c r="A28" s="214" t="s">
        <v>18</v>
      </c>
      <c r="B28" s="214"/>
      <c r="C28" s="214"/>
      <c r="D28" s="214"/>
      <c r="E28" s="192"/>
      <c r="F28" s="192"/>
      <c r="G28" s="17"/>
      <c r="H28" s="1"/>
      <c r="I28" s="1"/>
      <c r="J28" s="1"/>
      <c r="L28" s="1"/>
      <c r="M28" s="1"/>
      <c r="N28" s="1"/>
    </row>
    <row r="29" spans="1:39" ht="17.399999999999999" x14ac:dyDescent="0.55000000000000004">
      <c r="A29" s="162"/>
      <c r="B29" s="162"/>
      <c r="C29" s="162"/>
      <c r="D29" s="162"/>
      <c r="E29" s="3"/>
      <c r="F29" s="3"/>
      <c r="G29" s="1"/>
      <c r="H29" s="1"/>
      <c r="I29" s="1"/>
      <c r="J29" s="1"/>
      <c r="L29" s="1"/>
      <c r="M29" s="1"/>
      <c r="N29" s="1"/>
    </row>
    <row r="30" spans="1:39" ht="17.399999999999999" x14ac:dyDescent="0.55000000000000004">
      <c r="A30" s="214" t="s">
        <v>18</v>
      </c>
      <c r="B30" s="214"/>
      <c r="C30" s="214"/>
      <c r="D30" s="214"/>
      <c r="E30" s="192"/>
      <c r="F30" s="192"/>
      <c r="G30" s="20"/>
      <c r="H30" s="1"/>
      <c r="I30" s="1"/>
      <c r="J30" s="1"/>
      <c r="L30" s="1"/>
      <c r="M30" s="1"/>
      <c r="N30" s="1"/>
      <c r="S30" s="1"/>
    </row>
    <row r="31" spans="1:39" ht="17.7" x14ac:dyDescent="0.6">
      <c r="A31" s="1"/>
      <c r="B31" s="1"/>
      <c r="C31" s="1"/>
      <c r="D31" s="1"/>
      <c r="E31" s="1"/>
      <c r="F31" s="1"/>
      <c r="G31" s="1"/>
      <c r="H31" s="1"/>
      <c r="I31" s="1"/>
      <c r="J31" s="1"/>
      <c r="L31" s="1"/>
      <c r="M31" s="1"/>
      <c r="N31" s="1"/>
      <c r="S31" s="1"/>
      <c r="U31" s="2" t="s">
        <v>62</v>
      </c>
      <c r="V31" s="2"/>
      <c r="W31" s="2"/>
      <c r="Z31" s="2" t="s">
        <v>62</v>
      </c>
      <c r="AA31" s="2"/>
      <c r="AB31" s="2"/>
    </row>
    <row r="32" spans="1:39" ht="17.399999999999999" x14ac:dyDescent="0.55000000000000004">
      <c r="A32" s="192" t="s">
        <v>22</v>
      </c>
      <c r="B32" s="192"/>
      <c r="C32" s="192"/>
      <c r="D32" s="192"/>
      <c r="E32" s="232">
        <f>G28*R13</f>
        <v>0</v>
      </c>
      <c r="F32" s="232"/>
      <c r="G32" s="1"/>
      <c r="H32" s="1"/>
      <c r="I32" s="1"/>
      <c r="J32" s="1"/>
      <c r="L32" s="1"/>
      <c r="M32" s="1"/>
      <c r="N32" s="1"/>
      <c r="S32" s="1"/>
      <c r="U32" s="168" t="s">
        <v>73</v>
      </c>
      <c r="V32" s="168"/>
      <c r="W32" s="168"/>
      <c r="X32" s="1"/>
      <c r="Y32" s="1"/>
      <c r="Z32" s="168" t="s">
        <v>74</v>
      </c>
      <c r="AA32" s="168"/>
      <c r="AB32" s="168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 ht="15.3" x14ac:dyDescent="0.55000000000000004">
      <c r="A33" s="1"/>
      <c r="B33" s="1"/>
      <c r="C33" s="1"/>
      <c r="D33" s="1"/>
      <c r="E33" s="1"/>
      <c r="F33" s="1"/>
      <c r="G33" s="1"/>
      <c r="H33" s="1"/>
      <c r="I33" s="1"/>
      <c r="J33" s="1"/>
      <c r="L33" s="1"/>
      <c r="M33" s="1"/>
      <c r="N33" s="1"/>
      <c r="S33" s="1"/>
      <c r="U33" s="159" t="s">
        <v>63</v>
      </c>
      <c r="V33" s="161" t="s">
        <v>64</v>
      </c>
      <c r="W33" s="161"/>
      <c r="X33" s="1"/>
      <c r="Y33" s="1"/>
      <c r="Z33" s="159" t="s">
        <v>63</v>
      </c>
      <c r="AA33" s="161" t="s">
        <v>64</v>
      </c>
      <c r="AB33" s="16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 ht="17.399999999999999" x14ac:dyDescent="0.55000000000000004">
      <c r="A34" s="192" t="s">
        <v>22</v>
      </c>
      <c r="B34" s="192"/>
      <c r="C34" s="192"/>
      <c r="D34" s="192"/>
      <c r="E34" s="233">
        <f>G30*R13</f>
        <v>0</v>
      </c>
      <c r="F34" s="233"/>
      <c r="G34" s="1"/>
      <c r="H34" s="1"/>
      <c r="I34" s="1"/>
      <c r="J34" s="1"/>
      <c r="L34" s="1"/>
      <c r="M34" s="1"/>
      <c r="N34" s="1"/>
      <c r="S34" s="1"/>
      <c r="U34" s="160"/>
      <c r="V34" s="5" t="s">
        <v>65</v>
      </c>
      <c r="W34" s="5" t="s">
        <v>66</v>
      </c>
      <c r="X34" s="1"/>
      <c r="Y34" s="1"/>
      <c r="Z34" s="160"/>
      <c r="AA34" s="5" t="s">
        <v>65</v>
      </c>
      <c r="AB34" s="5" t="s">
        <v>66</v>
      </c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 ht="15.3" x14ac:dyDescent="0.55000000000000004">
      <c r="A35" s="1"/>
      <c r="B35" s="1"/>
      <c r="C35" s="1"/>
      <c r="D35" s="1"/>
      <c r="E35" s="1"/>
      <c r="F35" s="1"/>
      <c r="G35" s="1"/>
      <c r="H35" s="1"/>
      <c r="I35" s="1"/>
      <c r="J35" s="1"/>
      <c r="L35" s="1"/>
      <c r="M35" s="1"/>
      <c r="N35" s="1"/>
      <c r="S35" s="1"/>
      <c r="U35" s="7">
        <v>0.16</v>
      </c>
      <c r="V35" s="18">
        <f>U35*1</f>
        <v>0.16</v>
      </c>
      <c r="W35" s="5">
        <f>U35*3</f>
        <v>0.48</v>
      </c>
      <c r="X35" s="1"/>
      <c r="Y35" s="1"/>
      <c r="Z35" s="7">
        <v>0.16</v>
      </c>
      <c r="AA35" s="18">
        <f>Z35*2</f>
        <v>0.32</v>
      </c>
      <c r="AB35" s="5">
        <f>Z35*6</f>
        <v>0.96</v>
      </c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 ht="15.3" x14ac:dyDescent="0.55000000000000004">
      <c r="A36" s="1"/>
      <c r="B36" s="1"/>
      <c r="C36" s="1"/>
      <c r="D36" s="1"/>
      <c r="E36" s="1"/>
      <c r="F36" s="1"/>
      <c r="G36" s="1"/>
      <c r="H36" s="1"/>
      <c r="I36" s="1"/>
      <c r="J36" s="1"/>
      <c r="L36" s="1"/>
      <c r="M36" s="1"/>
      <c r="N36" s="1"/>
      <c r="S36" s="1"/>
      <c r="U36" s="7">
        <v>0.09</v>
      </c>
      <c r="V36" s="18">
        <f t="shared" ref="V36:V40" si="1">U36*1</f>
        <v>0.09</v>
      </c>
      <c r="W36" s="5">
        <f t="shared" ref="W36:W40" si="2">U36*3</f>
        <v>0.27</v>
      </c>
      <c r="X36" s="1"/>
      <c r="Y36" s="1"/>
      <c r="Z36" s="7">
        <v>0.09</v>
      </c>
      <c r="AA36" s="18">
        <f t="shared" ref="AA36:AA40" si="3">Z36*2</f>
        <v>0.18</v>
      </c>
      <c r="AB36" s="5">
        <f t="shared" ref="AB36:AB40" si="4">Z36*6</f>
        <v>0.54</v>
      </c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 ht="17.399999999999999" x14ac:dyDescent="0.55000000000000004">
      <c r="A37" s="11" t="s">
        <v>23</v>
      </c>
      <c r="B37" s="11"/>
      <c r="C37" s="11"/>
      <c r="D37" s="11"/>
      <c r="E37" s="11"/>
      <c r="F37" s="11"/>
      <c r="G37" s="11"/>
      <c r="H37" s="11"/>
      <c r="I37" s="11"/>
      <c r="J37" s="1"/>
      <c r="K37" s="1"/>
      <c r="L37" s="1"/>
      <c r="M37" s="1"/>
      <c r="N37" s="1"/>
      <c r="S37" s="1"/>
      <c r="U37" s="7">
        <v>0.56000000000000005</v>
      </c>
      <c r="V37" s="18">
        <f t="shared" si="1"/>
        <v>0.56000000000000005</v>
      </c>
      <c r="W37" s="5">
        <f t="shared" si="2"/>
        <v>1.6800000000000002</v>
      </c>
      <c r="X37" s="1"/>
      <c r="Y37" s="1"/>
      <c r="Z37" s="7">
        <v>0.56000000000000005</v>
      </c>
      <c r="AA37" s="18">
        <f t="shared" si="3"/>
        <v>1.1200000000000001</v>
      </c>
      <c r="AB37" s="5">
        <f t="shared" si="4"/>
        <v>3.3600000000000003</v>
      </c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 ht="15.3" x14ac:dyDescent="0.5500000000000000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S38" s="1"/>
      <c r="U38" s="7">
        <v>0.05</v>
      </c>
      <c r="V38" s="18">
        <f t="shared" si="1"/>
        <v>0.05</v>
      </c>
      <c r="W38" s="5">
        <f t="shared" si="2"/>
        <v>0.15000000000000002</v>
      </c>
      <c r="X38" s="1"/>
      <c r="Y38" s="1"/>
      <c r="Z38" s="7">
        <v>0.05</v>
      </c>
      <c r="AA38" s="18">
        <f t="shared" si="3"/>
        <v>0.1</v>
      </c>
      <c r="AB38" s="5">
        <f t="shared" si="4"/>
        <v>0.30000000000000004</v>
      </c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ht="17.7" x14ac:dyDescent="0.55000000000000004">
      <c r="A39" s="174" t="s">
        <v>22</v>
      </c>
      <c r="B39" s="174"/>
      <c r="C39" s="174"/>
      <c r="D39" s="174"/>
      <c r="E39" s="174" t="s">
        <v>24</v>
      </c>
      <c r="F39" s="174"/>
      <c r="G39" s="174"/>
      <c r="H39" s="174"/>
      <c r="I39" s="174"/>
      <c r="J39" s="174"/>
      <c r="K39" s="1"/>
      <c r="L39" s="229" t="s">
        <v>18</v>
      </c>
      <c r="M39" s="230"/>
      <c r="N39" s="230"/>
      <c r="O39" s="230"/>
      <c r="P39" s="230"/>
      <c r="Q39" s="16" t="s">
        <v>19</v>
      </c>
      <c r="R39" s="16"/>
      <c r="S39" s="1"/>
      <c r="U39" s="7">
        <v>0.06</v>
      </c>
      <c r="V39" s="18">
        <f t="shared" si="1"/>
        <v>0.06</v>
      </c>
      <c r="W39" s="5">
        <f t="shared" si="2"/>
        <v>0.18</v>
      </c>
      <c r="X39" s="1"/>
      <c r="Y39" s="1"/>
      <c r="Z39" s="7">
        <v>0.06</v>
      </c>
      <c r="AA39" s="18">
        <f t="shared" si="3"/>
        <v>0.12</v>
      </c>
      <c r="AB39" s="5">
        <f t="shared" si="4"/>
        <v>0.36</v>
      </c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 ht="17.7" x14ac:dyDescent="0.6">
      <c r="A40" s="231" t="s">
        <v>71</v>
      </c>
      <c r="B40" s="231"/>
      <c r="C40" s="231"/>
      <c r="D40" s="231"/>
      <c r="E40" s="177" t="s">
        <v>26</v>
      </c>
      <c r="F40" s="177"/>
      <c r="G40" s="177"/>
      <c r="H40" s="177"/>
      <c r="I40" s="177"/>
      <c r="J40" s="177"/>
      <c r="K40" s="10"/>
      <c r="L40" s="225" t="s">
        <v>59</v>
      </c>
      <c r="M40" s="226"/>
      <c r="N40" s="226"/>
      <c r="O40" s="226"/>
      <c r="P40" s="226"/>
      <c r="Q40" s="224">
        <v>3</v>
      </c>
      <c r="R40" s="224"/>
      <c r="S40" s="1"/>
      <c r="U40" s="7">
        <v>0.08</v>
      </c>
      <c r="V40" s="18">
        <f t="shared" si="1"/>
        <v>0.08</v>
      </c>
      <c r="W40" s="5">
        <f t="shared" si="2"/>
        <v>0.24</v>
      </c>
      <c r="X40" s="1"/>
      <c r="Y40" s="1"/>
      <c r="Z40" s="7">
        <v>0.08</v>
      </c>
      <c r="AA40" s="18">
        <f t="shared" si="3"/>
        <v>0.16</v>
      </c>
      <c r="AB40" s="5">
        <f t="shared" si="4"/>
        <v>0.48</v>
      </c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 ht="17.7" x14ac:dyDescent="0.6">
      <c r="A41" s="231" t="s">
        <v>72</v>
      </c>
      <c r="B41" s="231"/>
      <c r="C41" s="231"/>
      <c r="D41" s="231"/>
      <c r="E41" s="171" t="s">
        <v>28</v>
      </c>
      <c r="F41" s="171"/>
      <c r="G41" s="171"/>
      <c r="H41" s="171"/>
      <c r="I41" s="171"/>
      <c r="J41" s="171"/>
      <c r="K41" s="10"/>
      <c r="L41" s="227" t="s">
        <v>60</v>
      </c>
      <c r="M41" s="228"/>
      <c r="N41" s="228"/>
      <c r="O41" s="228"/>
      <c r="P41" s="228"/>
      <c r="Q41" s="224">
        <v>2</v>
      </c>
      <c r="R41" s="224"/>
      <c r="S41" s="1"/>
      <c r="U41" s="12" t="s">
        <v>55</v>
      </c>
      <c r="V41" s="5">
        <f>SUM(V35:V40)</f>
        <v>1.0000000000000002</v>
      </c>
      <c r="W41" s="5">
        <f>SUM(W35:W40)</f>
        <v>3</v>
      </c>
      <c r="X41" s="1"/>
      <c r="Y41" s="1"/>
      <c r="Z41" s="12" t="s">
        <v>55</v>
      </c>
      <c r="AA41" s="5">
        <f>SUM(AA35:AA40)</f>
        <v>2.0000000000000004</v>
      </c>
      <c r="AB41" s="5">
        <f>SUM(AB35:AB40)</f>
        <v>6</v>
      </c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 ht="17.7" x14ac:dyDescent="0.6">
      <c r="A42" s="231" t="s">
        <v>78</v>
      </c>
      <c r="B42" s="231"/>
      <c r="C42" s="231"/>
      <c r="D42" s="231"/>
      <c r="E42" s="173" t="s">
        <v>29</v>
      </c>
      <c r="F42" s="173"/>
      <c r="G42" s="173"/>
      <c r="H42" s="173"/>
      <c r="I42" s="173"/>
      <c r="J42" s="173"/>
      <c r="K42" s="10"/>
      <c r="L42" s="222" t="s">
        <v>61</v>
      </c>
      <c r="M42" s="223"/>
      <c r="N42" s="223"/>
      <c r="O42" s="223"/>
      <c r="P42" s="223"/>
      <c r="Q42" s="224">
        <v>1</v>
      </c>
      <c r="R42" s="224"/>
      <c r="S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 ht="15.3" x14ac:dyDescent="0.5500000000000000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56"/>
      <c r="M43" s="156"/>
      <c r="N43" s="1"/>
      <c r="S43" s="1"/>
      <c r="U43" s="1" t="s">
        <v>67</v>
      </c>
      <c r="V43" s="1">
        <f>W41-V41</f>
        <v>1.9999999999999998</v>
      </c>
      <c r="W43" s="1"/>
      <c r="X43" s="1"/>
      <c r="Y43" s="1"/>
      <c r="Z43" s="1" t="s">
        <v>67</v>
      </c>
      <c r="AA43" s="1">
        <f>AB41-AA41</f>
        <v>3.9999999999999996</v>
      </c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 ht="17.7" x14ac:dyDescent="0.55000000000000004">
      <c r="A44" s="174" t="s">
        <v>22</v>
      </c>
      <c r="B44" s="174"/>
      <c r="C44" s="174"/>
      <c r="D44" s="174"/>
      <c r="E44" s="174" t="s">
        <v>24</v>
      </c>
      <c r="F44" s="174"/>
      <c r="G44" s="174"/>
      <c r="H44" s="174"/>
      <c r="I44" s="174"/>
      <c r="J44" s="174"/>
      <c r="K44" s="1"/>
      <c r="L44" s="229" t="s">
        <v>18</v>
      </c>
      <c r="M44" s="230"/>
      <c r="N44" s="230"/>
      <c r="O44" s="230"/>
      <c r="P44" s="230"/>
      <c r="Q44" s="16" t="s">
        <v>19</v>
      </c>
      <c r="R44" s="16"/>
      <c r="S44" s="1"/>
      <c r="U44" s="1" t="s">
        <v>68</v>
      </c>
      <c r="V44" s="1">
        <v>3</v>
      </c>
      <c r="W44" s="1"/>
      <c r="X44" s="1"/>
      <c r="Y44" s="1"/>
      <c r="Z44" s="1" t="s">
        <v>68</v>
      </c>
      <c r="AA44" s="1">
        <v>3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 ht="17.7" x14ac:dyDescent="0.6">
      <c r="A45" s="231" t="s">
        <v>75</v>
      </c>
      <c r="B45" s="231"/>
      <c r="C45" s="231"/>
      <c r="D45" s="231"/>
      <c r="E45" s="177" t="s">
        <v>26</v>
      </c>
      <c r="F45" s="177"/>
      <c r="G45" s="177"/>
      <c r="H45" s="177"/>
      <c r="I45" s="177"/>
      <c r="J45" s="177"/>
      <c r="K45" s="1"/>
      <c r="L45" s="225" t="s">
        <v>59</v>
      </c>
      <c r="M45" s="226"/>
      <c r="N45" s="226"/>
      <c r="O45" s="226"/>
      <c r="P45" s="226"/>
      <c r="Q45" s="224">
        <v>6</v>
      </c>
      <c r="R45" s="224"/>
      <c r="S45" s="1"/>
      <c r="U45" s="1" t="s">
        <v>69</v>
      </c>
      <c r="V45" s="19">
        <f>V43/V44</f>
        <v>0.66666666666666663</v>
      </c>
      <c r="W45" s="1"/>
      <c r="X45" s="1"/>
      <c r="Y45" s="1"/>
      <c r="Z45" s="1" t="s">
        <v>69</v>
      </c>
      <c r="AA45" s="19">
        <f>AA43/AA44</f>
        <v>1.3333333333333333</v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 ht="17.7" x14ac:dyDescent="0.6">
      <c r="A46" s="231" t="s">
        <v>76</v>
      </c>
      <c r="B46" s="231"/>
      <c r="C46" s="231"/>
      <c r="D46" s="231"/>
      <c r="E46" s="171" t="s">
        <v>28</v>
      </c>
      <c r="F46" s="171"/>
      <c r="G46" s="171"/>
      <c r="H46" s="171"/>
      <c r="I46" s="171"/>
      <c r="J46" s="171"/>
      <c r="K46" s="1"/>
      <c r="L46" s="227" t="s">
        <v>60</v>
      </c>
      <c r="M46" s="228"/>
      <c r="N46" s="228"/>
      <c r="O46" s="228"/>
      <c r="P46" s="228"/>
      <c r="Q46" s="224">
        <v>4</v>
      </c>
      <c r="R46" s="224"/>
      <c r="S46" s="1"/>
      <c r="U46" s="145" t="s">
        <v>70</v>
      </c>
      <c r="V46" s="145"/>
      <c r="W46" s="145"/>
      <c r="X46" s="1"/>
      <c r="Y46" s="1"/>
      <c r="Z46" s="145" t="s">
        <v>70</v>
      </c>
      <c r="AA46" s="145"/>
      <c r="AB46" s="145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 ht="17.7" x14ac:dyDescent="0.6">
      <c r="A47" s="231" t="s">
        <v>77</v>
      </c>
      <c r="B47" s="231"/>
      <c r="C47" s="231"/>
      <c r="D47" s="231"/>
      <c r="E47" s="173" t="s">
        <v>29</v>
      </c>
      <c r="F47" s="173"/>
      <c r="G47" s="173"/>
      <c r="H47" s="173"/>
      <c r="I47" s="173"/>
      <c r="J47" s="173"/>
      <c r="K47" s="1"/>
      <c r="L47" s="222" t="s">
        <v>61</v>
      </c>
      <c r="M47" s="223"/>
      <c r="N47" s="223"/>
      <c r="O47" s="223"/>
      <c r="P47" s="223"/>
      <c r="Q47" s="224">
        <v>2</v>
      </c>
      <c r="R47" s="224"/>
      <c r="S47" s="1"/>
      <c r="U47" s="1"/>
      <c r="V47" s="1">
        <v>1</v>
      </c>
      <c r="W47" s="19">
        <f>V47+V45</f>
        <v>1.6666666666666665</v>
      </c>
      <c r="X47" s="1"/>
      <c r="Y47" s="1"/>
      <c r="Z47" s="1"/>
      <c r="AA47" s="1">
        <v>2</v>
      </c>
      <c r="AB47" s="19">
        <f>AA47+AA45</f>
        <v>3.333333333333333</v>
      </c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ht="15.3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S48" s="1"/>
      <c r="U48" s="1"/>
      <c r="V48" s="1">
        <v>1.8</v>
      </c>
      <c r="W48" s="19">
        <f>V48+V45</f>
        <v>2.4666666666666668</v>
      </c>
      <c r="X48" s="1"/>
      <c r="Y48" s="1"/>
      <c r="Z48" s="1"/>
      <c r="AA48" s="1">
        <v>3.4</v>
      </c>
      <c r="AB48" s="19">
        <f>AA48+AA45</f>
        <v>4.7333333333333334</v>
      </c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ht="15.3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S49" s="1"/>
      <c r="U49" s="1"/>
      <c r="V49" s="1">
        <v>2.6</v>
      </c>
      <c r="W49" s="1">
        <v>3</v>
      </c>
      <c r="X49" s="1"/>
      <c r="Y49" s="1"/>
      <c r="Z49" s="1"/>
      <c r="AA49" s="1">
        <v>4.8</v>
      </c>
      <c r="AB49" s="1">
        <v>6</v>
      </c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ht="15.3" x14ac:dyDescent="0.5500000000000000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26"/>
      <c r="P50" s="26"/>
      <c r="Q50" s="26"/>
      <c r="R50" s="26"/>
      <c r="S50" s="1"/>
      <c r="T50" s="26"/>
      <c r="U50" s="26"/>
      <c r="V50" s="26"/>
      <c r="W50" s="27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</row>
    <row r="51" spans="1:39" ht="15.3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26"/>
      <c r="P51" s="26"/>
      <c r="Q51" s="26"/>
      <c r="R51" s="26"/>
      <c r="S51" s="1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</row>
    <row r="52" spans="1:39" ht="15.3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6"/>
      <c r="P52" s="26"/>
      <c r="Q52" s="26"/>
      <c r="R52" s="26"/>
      <c r="S52" s="1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</row>
    <row r="53" spans="1:39" ht="15.3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26"/>
      <c r="P53" s="26"/>
      <c r="Q53" s="26"/>
      <c r="R53" s="26"/>
      <c r="S53" s="1"/>
      <c r="T53" s="26"/>
      <c r="U53" s="10" t="s">
        <v>55</v>
      </c>
      <c r="V53" s="10">
        <v>1</v>
      </c>
      <c r="W53" s="10">
        <v>9</v>
      </c>
      <c r="X53" s="1"/>
      <c r="Y53" s="1"/>
      <c r="Z53" s="1"/>
      <c r="AA53" s="1"/>
      <c r="AB53" s="26"/>
      <c r="AC53" s="26"/>
      <c r="AD53" s="26"/>
      <c r="AE53" s="26"/>
      <c r="AF53" s="26"/>
      <c r="AG53" s="26"/>
      <c r="AH53" s="26"/>
      <c r="AI53" s="26"/>
      <c r="AJ53" s="26"/>
      <c r="AK53" s="26"/>
    </row>
    <row r="54" spans="1:39" ht="15.3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26"/>
      <c r="P54" s="26"/>
      <c r="Q54" s="26"/>
      <c r="R54" s="26"/>
      <c r="S54" s="26"/>
      <c r="T54" s="26"/>
      <c r="U54" s="1" t="s">
        <v>67</v>
      </c>
      <c r="V54" s="1">
        <v>8</v>
      </c>
      <c r="W54" s="1"/>
      <c r="X54" s="1"/>
      <c r="Y54" s="1"/>
      <c r="Z54" s="1"/>
      <c r="AA54" s="1"/>
      <c r="AB54" s="26"/>
      <c r="AC54" s="26"/>
      <c r="AD54" s="26"/>
      <c r="AE54" s="26"/>
      <c r="AF54" s="26"/>
      <c r="AG54" s="26"/>
      <c r="AH54" s="26"/>
      <c r="AI54" s="26"/>
      <c r="AJ54" s="26"/>
      <c r="AK54" s="26"/>
    </row>
    <row r="55" spans="1:39" ht="15.3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26"/>
      <c r="P55" s="26"/>
      <c r="Q55" s="26"/>
      <c r="R55" s="26"/>
      <c r="S55" s="26"/>
      <c r="T55" s="26"/>
      <c r="U55" s="1" t="s">
        <v>69</v>
      </c>
      <c r="V55" s="19">
        <f>V54/3</f>
        <v>2.6666666666666665</v>
      </c>
      <c r="W55" s="1"/>
      <c r="X55" s="1"/>
      <c r="Y55" s="1"/>
      <c r="Z55" s="1"/>
      <c r="AA55" s="1"/>
      <c r="AB55" s="26"/>
      <c r="AC55" s="26"/>
      <c r="AD55" s="26"/>
      <c r="AE55" s="26"/>
      <c r="AF55" s="26"/>
      <c r="AG55" s="26"/>
      <c r="AH55" s="26"/>
      <c r="AI55" s="26"/>
      <c r="AJ55" s="26"/>
      <c r="AK55" s="26"/>
    </row>
    <row r="56" spans="1:39" ht="15.3" x14ac:dyDescent="0.5500000000000000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26"/>
      <c r="P56" s="26"/>
      <c r="Q56" s="26"/>
      <c r="R56" s="26"/>
      <c r="S56" s="26"/>
      <c r="T56" s="26"/>
      <c r="U56" s="235" t="s">
        <v>70</v>
      </c>
      <c r="V56" s="235"/>
      <c r="W56" s="235"/>
      <c r="X56" s="1"/>
      <c r="Y56" s="1"/>
      <c r="Z56" s="1"/>
      <c r="AA56" s="1"/>
      <c r="AB56" s="26"/>
      <c r="AC56" s="26"/>
      <c r="AD56" s="26"/>
      <c r="AE56" s="26"/>
      <c r="AF56" s="26"/>
      <c r="AG56" s="26"/>
      <c r="AH56" s="26"/>
      <c r="AI56" s="26"/>
      <c r="AJ56" s="26"/>
      <c r="AK56" s="26"/>
    </row>
    <row r="57" spans="1:39" ht="15.3" x14ac:dyDescent="0.5500000000000000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26"/>
      <c r="P57" s="26"/>
      <c r="Q57" s="26"/>
      <c r="R57" s="26"/>
      <c r="S57" s="26"/>
      <c r="T57" s="26"/>
      <c r="U57" s="1"/>
      <c r="V57" s="28" t="s">
        <v>103</v>
      </c>
      <c r="W57" s="28"/>
      <c r="X57" s="1"/>
      <c r="Y57" s="1"/>
      <c r="Z57" s="1"/>
      <c r="AA57" s="1"/>
      <c r="AB57" s="26"/>
      <c r="AC57" s="26"/>
      <c r="AD57" s="26"/>
      <c r="AE57" s="26"/>
      <c r="AF57" s="26"/>
      <c r="AG57" s="26"/>
      <c r="AH57" s="26"/>
      <c r="AI57" s="26"/>
      <c r="AJ57" s="26"/>
      <c r="AK57" s="26"/>
    </row>
    <row r="58" spans="1:39" ht="15.3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26"/>
      <c r="P58" s="26"/>
      <c r="Q58" s="26"/>
      <c r="R58" s="26"/>
      <c r="S58" s="26"/>
      <c r="T58" s="26"/>
      <c r="U58" s="1"/>
      <c r="V58" s="1" t="s">
        <v>105</v>
      </c>
      <c r="W58" s="1"/>
      <c r="X58" s="1"/>
      <c r="Y58" s="1"/>
      <c r="Z58" s="1"/>
      <c r="AA58" s="1"/>
      <c r="AB58" s="26"/>
      <c r="AC58" s="26"/>
      <c r="AD58" s="26"/>
      <c r="AE58" s="26"/>
      <c r="AF58" s="26"/>
      <c r="AG58" s="26"/>
      <c r="AH58" s="26"/>
      <c r="AI58" s="26"/>
      <c r="AJ58" s="26"/>
      <c r="AK58" s="26"/>
    </row>
    <row r="59" spans="1:39" ht="15.3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26"/>
      <c r="P59" s="26"/>
      <c r="Q59" s="26"/>
      <c r="R59" s="26"/>
      <c r="S59" s="26"/>
      <c r="T59" s="26"/>
      <c r="U59" s="1"/>
      <c r="V59" s="1" t="s">
        <v>104</v>
      </c>
      <c r="W59" s="1"/>
      <c r="X59" s="1"/>
      <c r="Y59" s="1"/>
      <c r="Z59" s="1"/>
      <c r="AA59" s="1"/>
      <c r="AB59" s="26"/>
      <c r="AC59" s="26"/>
      <c r="AD59" s="26"/>
      <c r="AE59" s="26"/>
      <c r="AF59" s="26"/>
      <c r="AG59" s="26"/>
      <c r="AH59" s="26"/>
      <c r="AI59" s="26"/>
      <c r="AJ59" s="26"/>
      <c r="AK59" s="26"/>
    </row>
    <row r="60" spans="1:39" ht="15.3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26"/>
      <c r="P60" s="26"/>
      <c r="Q60" s="26"/>
      <c r="R60" s="26"/>
      <c r="S60" s="26"/>
      <c r="T60" s="26"/>
      <c r="U60" s="1"/>
      <c r="V60" s="1"/>
      <c r="W60" s="1"/>
      <c r="X60" s="1"/>
      <c r="Y60" s="1"/>
      <c r="Z60" s="1"/>
      <c r="AA60" s="1"/>
      <c r="AB60" s="26"/>
      <c r="AC60" s="26"/>
      <c r="AD60" s="26"/>
      <c r="AE60" s="26"/>
      <c r="AF60" s="26"/>
      <c r="AG60" s="26"/>
      <c r="AH60" s="26"/>
      <c r="AI60" s="26"/>
      <c r="AJ60" s="26"/>
      <c r="AK60" s="26"/>
    </row>
    <row r="61" spans="1:39" ht="15.3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26"/>
      <c r="P61" s="26"/>
      <c r="Q61" s="26"/>
      <c r="R61" s="26"/>
      <c r="S61" s="26"/>
      <c r="T61" s="26"/>
      <c r="U61" s="1"/>
      <c r="V61" s="1"/>
      <c r="W61" s="1"/>
      <c r="X61" s="1"/>
      <c r="Y61" s="1"/>
      <c r="Z61" s="1"/>
      <c r="AA61" s="1"/>
      <c r="AB61" s="26"/>
      <c r="AC61" s="26"/>
      <c r="AD61" s="26"/>
      <c r="AE61" s="26"/>
      <c r="AF61" s="26"/>
      <c r="AG61" s="26"/>
      <c r="AH61" s="26"/>
      <c r="AI61" s="26"/>
      <c r="AJ61" s="26"/>
      <c r="AK61" s="26"/>
    </row>
    <row r="62" spans="1:39" ht="15.3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26"/>
      <c r="P62" s="26"/>
      <c r="Q62" s="26"/>
      <c r="R62" s="26"/>
      <c r="S62" s="26"/>
      <c r="T62" s="26"/>
      <c r="U62" s="1"/>
      <c r="V62" s="1"/>
      <c r="W62" s="1"/>
      <c r="X62" s="1"/>
      <c r="Y62" s="1"/>
      <c r="Z62" s="1"/>
      <c r="AA62" s="1"/>
      <c r="AB62" s="26"/>
      <c r="AC62" s="26"/>
      <c r="AD62" s="26"/>
      <c r="AE62" s="26"/>
      <c r="AF62" s="26"/>
      <c r="AG62" s="26"/>
      <c r="AH62" s="26"/>
      <c r="AI62" s="26"/>
      <c r="AJ62" s="26"/>
      <c r="AK62" s="26"/>
    </row>
    <row r="63" spans="1:39" ht="15.3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26"/>
      <c r="P63" s="26"/>
      <c r="Q63" s="26"/>
      <c r="R63" s="26"/>
      <c r="S63" s="26"/>
      <c r="T63" s="26"/>
      <c r="U63" s="1"/>
      <c r="V63" s="1"/>
      <c r="W63" s="1"/>
      <c r="X63" s="1"/>
      <c r="Y63" s="1"/>
      <c r="Z63" s="1"/>
      <c r="AA63" s="1"/>
      <c r="AB63" s="26"/>
      <c r="AC63" s="26"/>
      <c r="AD63" s="26"/>
      <c r="AE63" s="26"/>
      <c r="AF63" s="26"/>
      <c r="AG63" s="26"/>
      <c r="AH63" s="26"/>
      <c r="AI63" s="26"/>
      <c r="AJ63" s="26"/>
      <c r="AK63" s="26"/>
    </row>
    <row r="64" spans="1:39" ht="15.3" x14ac:dyDescent="0.5500000000000000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26"/>
      <c r="P64" s="26"/>
      <c r="Q64" s="26"/>
      <c r="R64" s="26"/>
      <c r="S64" s="26"/>
      <c r="T64" s="26"/>
      <c r="U64" s="1"/>
      <c r="V64" s="1"/>
      <c r="W64" s="1"/>
      <c r="X64" s="1"/>
      <c r="Y64" s="1"/>
      <c r="Z64" s="1"/>
      <c r="AA64" s="1"/>
      <c r="AB64" s="26"/>
      <c r="AC64" s="26"/>
      <c r="AD64" s="26"/>
      <c r="AE64" s="26"/>
      <c r="AF64" s="26"/>
      <c r="AG64" s="26"/>
      <c r="AH64" s="26"/>
      <c r="AI64" s="26"/>
      <c r="AJ64" s="26"/>
      <c r="AK64" s="26"/>
    </row>
    <row r="65" spans="1:37" ht="15.3" x14ac:dyDescent="0.5500000000000000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</row>
    <row r="66" spans="1:37" ht="15.3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</row>
    <row r="67" spans="1:37" ht="15.3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</row>
    <row r="68" spans="1:37" ht="15.3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</row>
    <row r="69" spans="1:37" ht="15.3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</row>
    <row r="70" spans="1:37" ht="15.3" x14ac:dyDescent="0.5500000000000000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</row>
    <row r="71" spans="1:37" ht="15.3" x14ac:dyDescent="0.5500000000000000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</row>
    <row r="72" spans="1:37" ht="15.3" x14ac:dyDescent="0.5500000000000000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</row>
    <row r="73" spans="1:37" ht="15.3" x14ac:dyDescent="0.5500000000000000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</row>
    <row r="74" spans="1:37" ht="15.3" x14ac:dyDescent="0.5500000000000000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</row>
    <row r="75" spans="1:37" ht="15.3" x14ac:dyDescent="0.5500000000000000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</row>
    <row r="76" spans="1:37" ht="15.3" x14ac:dyDescent="0.5500000000000000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</row>
    <row r="77" spans="1:37" ht="15.3" x14ac:dyDescent="0.5500000000000000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</row>
    <row r="78" spans="1:37" ht="15.3" x14ac:dyDescent="0.5500000000000000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</row>
    <row r="79" spans="1:37" ht="15.3" x14ac:dyDescent="0.5500000000000000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</row>
    <row r="80" spans="1:37" ht="15.3" x14ac:dyDescent="0.5500000000000000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</row>
    <row r="81" spans="1:37" ht="15.3" x14ac:dyDescent="0.5500000000000000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</row>
    <row r="82" spans="1:37" ht="15.3" x14ac:dyDescent="0.5500000000000000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</row>
    <row r="83" spans="1:37" ht="15.3" x14ac:dyDescent="0.5500000000000000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</row>
    <row r="84" spans="1:37" ht="15.3" x14ac:dyDescent="0.5500000000000000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</row>
    <row r="85" spans="1:37" ht="15.3" x14ac:dyDescent="0.5500000000000000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</row>
    <row r="86" spans="1:37" ht="15.3" x14ac:dyDescent="0.5500000000000000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</row>
    <row r="87" spans="1:37" ht="15.3" x14ac:dyDescent="0.5500000000000000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</row>
    <row r="88" spans="1:37" ht="15.3" x14ac:dyDescent="0.5500000000000000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</row>
    <row r="89" spans="1:37" ht="15.3" x14ac:dyDescent="0.5500000000000000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</row>
    <row r="90" spans="1:37" ht="15.3" x14ac:dyDescent="0.5500000000000000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</row>
    <row r="91" spans="1:37" ht="15.3" x14ac:dyDescent="0.5500000000000000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</row>
    <row r="92" spans="1:37" ht="15.3" x14ac:dyDescent="0.5500000000000000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</row>
    <row r="93" spans="1:37" ht="15.3" x14ac:dyDescent="0.5500000000000000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</row>
    <row r="94" spans="1:37" ht="15.3" x14ac:dyDescent="0.5500000000000000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</row>
    <row r="95" spans="1:37" ht="15.3" x14ac:dyDescent="0.5500000000000000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</row>
    <row r="96" spans="1:37" ht="15.3" x14ac:dyDescent="0.5500000000000000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</row>
    <row r="97" spans="1:37" ht="15.3" x14ac:dyDescent="0.5500000000000000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</row>
    <row r="98" spans="1:37" ht="15.3" x14ac:dyDescent="0.5500000000000000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37" ht="15.3" x14ac:dyDescent="0.5500000000000000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37" ht="15.3" x14ac:dyDescent="0.5500000000000000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37" ht="15.3" x14ac:dyDescent="0.5500000000000000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37" ht="15.3" x14ac:dyDescent="0.5500000000000000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37" ht="15.3" x14ac:dyDescent="0.5500000000000000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</sheetData>
  <mergeCells count="95">
    <mergeCell ref="U56:W56"/>
    <mergeCell ref="B6:H6"/>
    <mergeCell ref="I6:O6"/>
    <mergeCell ref="P6:Q6"/>
    <mergeCell ref="R6:S6"/>
    <mergeCell ref="B7:H7"/>
    <mergeCell ref="I7:N7"/>
    <mergeCell ref="P7:Q7"/>
    <mergeCell ref="R7:S7"/>
    <mergeCell ref="B8:H8"/>
    <mergeCell ref="I8:N8"/>
    <mergeCell ref="P8:Q8"/>
    <mergeCell ref="R8:S8"/>
    <mergeCell ref="B9:H9"/>
    <mergeCell ref="I9:N9"/>
    <mergeCell ref="P9:Q9"/>
    <mergeCell ref="R9:S9"/>
    <mergeCell ref="B10:H10"/>
    <mergeCell ref="I10:N10"/>
    <mergeCell ref="P10:Q10"/>
    <mergeCell ref="R10:S10"/>
    <mergeCell ref="B11:H11"/>
    <mergeCell ref="I11:N11"/>
    <mergeCell ref="P11:Q11"/>
    <mergeCell ref="R11:S11"/>
    <mergeCell ref="O18:P18"/>
    <mergeCell ref="B12:H12"/>
    <mergeCell ref="I12:N12"/>
    <mergeCell ref="P12:Q12"/>
    <mergeCell ref="R12:S12"/>
    <mergeCell ref="A13:Q13"/>
    <mergeCell ref="R13:S13"/>
    <mergeCell ref="B17:F17"/>
    <mergeCell ref="J17:N17"/>
    <mergeCell ref="B18:F18"/>
    <mergeCell ref="G18:H18"/>
    <mergeCell ref="J18:N18"/>
    <mergeCell ref="A30:D30"/>
    <mergeCell ref="E30:F30"/>
    <mergeCell ref="B19:F19"/>
    <mergeCell ref="G19:H19"/>
    <mergeCell ref="J19:N19"/>
    <mergeCell ref="A25:Q25"/>
    <mergeCell ref="A27:F27"/>
    <mergeCell ref="A28:D28"/>
    <mergeCell ref="E28:F28"/>
    <mergeCell ref="A29:D29"/>
    <mergeCell ref="O19:P19"/>
    <mergeCell ref="B20:F20"/>
    <mergeCell ref="G20:H20"/>
    <mergeCell ref="J20:N20"/>
    <mergeCell ref="O20:P20"/>
    <mergeCell ref="A32:D32"/>
    <mergeCell ref="E32:F32"/>
    <mergeCell ref="U32:W32"/>
    <mergeCell ref="Z32:AB32"/>
    <mergeCell ref="U33:U34"/>
    <mergeCell ref="V33:W33"/>
    <mergeCell ref="Z33:Z34"/>
    <mergeCell ref="AA33:AB33"/>
    <mergeCell ref="A34:D34"/>
    <mergeCell ref="E34:F34"/>
    <mergeCell ref="A42:D42"/>
    <mergeCell ref="E42:J42"/>
    <mergeCell ref="L42:P42"/>
    <mergeCell ref="Q42:R42"/>
    <mergeCell ref="A39:D39"/>
    <mergeCell ref="E39:J39"/>
    <mergeCell ref="L39:P39"/>
    <mergeCell ref="A40:D40"/>
    <mergeCell ref="E40:J40"/>
    <mergeCell ref="L40:P40"/>
    <mergeCell ref="Q40:R40"/>
    <mergeCell ref="A41:D41"/>
    <mergeCell ref="E41:J41"/>
    <mergeCell ref="L41:P41"/>
    <mergeCell ref="Q41:R41"/>
    <mergeCell ref="L43:M43"/>
    <mergeCell ref="A44:D44"/>
    <mergeCell ref="E44:J44"/>
    <mergeCell ref="L44:P44"/>
    <mergeCell ref="A45:D45"/>
    <mergeCell ref="E45:J45"/>
    <mergeCell ref="L45:P45"/>
    <mergeCell ref="Q45:R45"/>
    <mergeCell ref="A46:D46"/>
    <mergeCell ref="E46:J46"/>
    <mergeCell ref="L46:P46"/>
    <mergeCell ref="Q46:R46"/>
    <mergeCell ref="Z46:AB46"/>
    <mergeCell ref="A47:D47"/>
    <mergeCell ref="E47:J47"/>
    <mergeCell ref="L47:P47"/>
    <mergeCell ref="Q47:R47"/>
    <mergeCell ref="U46:W46"/>
  </mergeCells>
  <dataValidations count="10">
    <dataValidation type="list" allowBlank="1" showInputMessage="1" showErrorMessage="1" sqref="E29 G28" xr:uid="{F8D12423-DD1F-407A-A818-918BDD306340}">
      <formula1>$AB$10:$AB$12</formula1>
    </dataValidation>
    <dataValidation type="list" allowBlank="1" showInputMessage="1" showErrorMessage="1" sqref="E28 E30" xr:uid="{73E08B35-737A-4566-AE44-92E0B236FAD5}">
      <formula1>$AB$6:$AB$8</formula1>
    </dataValidation>
    <dataValidation type="list" allowBlank="1" showInputMessage="1" showErrorMessage="1" sqref="I12" xr:uid="{B82A0856-E560-4C5B-834F-CC49ECF2927C}">
      <formula1>$U$24:$U$27</formula1>
    </dataValidation>
    <dataValidation type="list" allowBlank="1" showInputMessage="1" showErrorMessage="1" sqref="I11" xr:uid="{0469B4AC-3716-4D53-B220-AF1C63225EE3}">
      <formula1>$U$20:$U$23</formula1>
    </dataValidation>
    <dataValidation type="list" allowBlank="1" showInputMessage="1" showErrorMessage="1" sqref="I10" xr:uid="{4F898625-CB85-419D-A657-3E922C0FE269}">
      <formula1>$U$16:$U$19</formula1>
    </dataValidation>
    <dataValidation type="list" allowBlank="1" showInputMessage="1" showErrorMessage="1" sqref="I9" xr:uid="{5DD123CB-9111-407B-BF6C-8AC74380FBD8}">
      <formula1>$U$12:$U$15</formula1>
    </dataValidation>
    <dataValidation type="list" allowBlank="1" showInputMessage="1" showErrorMessage="1" sqref="I8" xr:uid="{698616B7-0F9C-476C-8BA0-7A3AA4C6A58E}">
      <formula1>$U$8:$U$11</formula1>
    </dataValidation>
    <dataValidation type="list" allowBlank="1" showInputMessage="1" showErrorMessage="1" sqref="I7" xr:uid="{A625F31C-3B00-486D-A686-DC6071537562}">
      <formula1>$U$4:$U$7</formula1>
    </dataValidation>
    <dataValidation type="list" allowBlank="1" showInputMessage="1" showErrorMessage="1" sqref="O7:O12" xr:uid="{DFC6A582-8261-47EA-83F8-2B0D111A599F}">
      <formula1>$AA$10:$AA$13</formula1>
    </dataValidation>
    <dataValidation type="list" allowBlank="1" showInputMessage="1" showErrorMessage="1" sqref="G30" xr:uid="{638DA699-127E-483C-B99C-4F09F1573C89}">
      <formula1>$AC$10:$AC$12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962E9-8A24-497F-8D9B-953E83226147}">
  <dimension ref="A1:BW62"/>
  <sheetViews>
    <sheetView workbookViewId="0">
      <selection activeCell="F24" sqref="F24"/>
    </sheetView>
  </sheetViews>
  <sheetFormatPr baseColWidth="10" defaultColWidth="11.41796875" defaultRowHeight="14.4" x14ac:dyDescent="0.55000000000000004"/>
  <sheetData>
    <row r="1" spans="1:75" ht="15.3" x14ac:dyDescent="0.5500000000000000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</row>
    <row r="2" spans="1:75" ht="15.3" x14ac:dyDescent="0.55000000000000004">
      <c r="A2" s="1"/>
      <c r="B2" s="23" t="s">
        <v>93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</row>
    <row r="3" spans="1:75" ht="15.3" x14ac:dyDescent="0.55000000000000004">
      <c r="A3" s="1"/>
      <c r="B3" s="23" t="s">
        <v>94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</row>
    <row r="4" spans="1:75" ht="15.3" x14ac:dyDescent="0.55000000000000004">
      <c r="A4" s="1"/>
      <c r="B4" s="23" t="s">
        <v>95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</row>
    <row r="5" spans="1:75" ht="15.3" x14ac:dyDescent="0.55000000000000004">
      <c r="A5" s="1"/>
      <c r="B5" s="23" t="s">
        <v>96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</row>
    <row r="6" spans="1:75" ht="15.3" x14ac:dyDescent="0.55000000000000004">
      <c r="A6" s="1"/>
      <c r="B6" s="24" t="s">
        <v>97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</row>
    <row r="7" spans="1:75" ht="15.3" x14ac:dyDescent="0.5500000000000000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</row>
    <row r="8" spans="1:75" ht="15.3" x14ac:dyDescent="0.55000000000000004">
      <c r="A8" s="1"/>
      <c r="B8" s="23" t="s">
        <v>98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</row>
    <row r="9" spans="1:75" ht="15.3" x14ac:dyDescent="0.5500000000000000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</row>
    <row r="10" spans="1:75" ht="15.3" x14ac:dyDescent="0.55000000000000004">
      <c r="A10" s="1"/>
      <c r="B10" s="23" t="s">
        <v>99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</row>
    <row r="11" spans="1:75" ht="15.3" x14ac:dyDescent="0.55000000000000004">
      <c r="A11" s="1"/>
      <c r="B11" s="23" t="s">
        <v>100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</row>
    <row r="12" spans="1:75" ht="15.3" x14ac:dyDescent="0.55000000000000004">
      <c r="A12" s="1"/>
      <c r="B12" s="1"/>
      <c r="C12" s="1"/>
      <c r="D12" s="1"/>
      <c r="E12" s="1"/>
      <c r="F12" s="1"/>
      <c r="G12" s="1"/>
      <c r="H12" s="1"/>
      <c r="I12" s="1"/>
      <c r="J12" s="10" t="s">
        <v>101</v>
      </c>
      <c r="K12" s="10" t="s">
        <v>102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</row>
    <row r="13" spans="1:75" ht="15.3" x14ac:dyDescent="0.55000000000000004">
      <c r="A13" s="1"/>
      <c r="B13" s="1"/>
      <c r="C13" s="1"/>
      <c r="D13" s="1"/>
      <c r="E13" s="1"/>
      <c r="F13" s="1"/>
      <c r="G13" s="25">
        <v>0.15</v>
      </c>
      <c r="H13" s="1"/>
      <c r="I13" s="1"/>
      <c r="J13" s="1">
        <f>G13*2</f>
        <v>0.3</v>
      </c>
      <c r="K13" s="25">
        <f>G13*8</f>
        <v>1.2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</row>
    <row r="14" spans="1:75" ht="15.3" x14ac:dyDescent="0.55000000000000004">
      <c r="A14" s="1"/>
      <c r="B14" s="1"/>
      <c r="C14" s="1"/>
      <c r="D14" s="1"/>
      <c r="E14" s="1"/>
      <c r="F14" s="1"/>
      <c r="G14" s="25">
        <v>0.28999999999999998</v>
      </c>
      <c r="H14" s="1"/>
      <c r="I14" s="1"/>
      <c r="J14" s="1">
        <f t="shared" ref="J14:J16" si="0">G14*2</f>
        <v>0.57999999999999996</v>
      </c>
      <c r="K14" s="25">
        <f t="shared" ref="K14:K16" si="1">G14*8</f>
        <v>2.3199999999999998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</row>
    <row r="15" spans="1:75" ht="15.3" x14ac:dyDescent="0.55000000000000004">
      <c r="A15" s="1"/>
      <c r="B15" s="1"/>
      <c r="C15" s="1"/>
      <c r="D15" s="1"/>
      <c r="E15" s="1"/>
      <c r="F15" s="1"/>
      <c r="G15" s="25">
        <v>0.28000000000000003</v>
      </c>
      <c r="H15" s="1"/>
      <c r="I15" s="1"/>
      <c r="J15" s="1">
        <f t="shared" si="0"/>
        <v>0.56000000000000005</v>
      </c>
      <c r="K15" s="25">
        <f t="shared" si="1"/>
        <v>2.2400000000000002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</row>
    <row r="16" spans="1:75" ht="15.3" x14ac:dyDescent="0.55000000000000004">
      <c r="A16" s="1"/>
      <c r="B16" s="1"/>
      <c r="C16" s="1"/>
      <c r="D16" s="1"/>
      <c r="E16" s="1"/>
      <c r="F16" s="1"/>
      <c r="G16" s="25">
        <v>0.28999999999999998</v>
      </c>
      <c r="H16" s="1"/>
      <c r="I16" s="1"/>
      <c r="J16" s="1">
        <f t="shared" si="0"/>
        <v>0.57999999999999996</v>
      </c>
      <c r="K16" s="25">
        <f t="shared" si="1"/>
        <v>2.3199999999999998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</row>
    <row r="17" spans="1:75" ht="15.3" x14ac:dyDescent="0.55000000000000004">
      <c r="A17" s="1"/>
      <c r="B17" s="1"/>
      <c r="C17" s="1"/>
      <c r="D17" s="1"/>
      <c r="E17" s="1"/>
      <c r="F17" s="1"/>
      <c r="G17" s="1">
        <f>SUM(G13:G16)</f>
        <v>1.01</v>
      </c>
      <c r="H17" s="1"/>
      <c r="I17" s="1"/>
      <c r="J17" s="1">
        <f>SUM(J13:J16)</f>
        <v>2.02</v>
      </c>
      <c r="K17" s="25">
        <f>SUM(K13:K16)</f>
        <v>8.08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</row>
    <row r="18" spans="1:75" ht="15.3" x14ac:dyDescent="0.5500000000000000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</row>
    <row r="19" spans="1:75" ht="15.3" x14ac:dyDescent="0.5500000000000000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</row>
    <row r="20" spans="1:75" ht="15.3" x14ac:dyDescent="0.5500000000000000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</row>
    <row r="21" spans="1:75" ht="15.3" x14ac:dyDescent="0.5500000000000000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</row>
    <row r="22" spans="1:75" ht="15.3" x14ac:dyDescent="0.5500000000000000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</row>
    <row r="23" spans="1:75" ht="15.3" x14ac:dyDescent="0.5500000000000000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</row>
    <row r="24" spans="1:75" ht="15.3" x14ac:dyDescent="0.5500000000000000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</row>
    <row r="25" spans="1:75" ht="15.3" x14ac:dyDescent="0.5500000000000000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</row>
    <row r="26" spans="1:75" ht="15.3" x14ac:dyDescent="0.5500000000000000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</row>
    <row r="27" spans="1:75" ht="15.3" x14ac:dyDescent="0.5500000000000000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</row>
    <row r="28" spans="1:75" ht="15.3" x14ac:dyDescent="0.5500000000000000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</row>
    <row r="29" spans="1:75" ht="15.3" x14ac:dyDescent="0.5500000000000000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</row>
    <row r="30" spans="1:75" ht="15.3" x14ac:dyDescent="0.5500000000000000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</row>
    <row r="31" spans="1:75" ht="15.3" x14ac:dyDescent="0.5500000000000000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</row>
    <row r="32" spans="1:75" ht="15.3" x14ac:dyDescent="0.5500000000000000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</row>
    <row r="33" spans="1:75" ht="15.3" x14ac:dyDescent="0.5500000000000000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</row>
    <row r="34" spans="1:75" ht="15.3" x14ac:dyDescent="0.5500000000000000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</row>
    <row r="35" spans="1:75" ht="15.3" x14ac:dyDescent="0.5500000000000000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</row>
    <row r="36" spans="1:75" ht="15.3" x14ac:dyDescent="0.5500000000000000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</row>
    <row r="37" spans="1:75" ht="15.3" x14ac:dyDescent="0.5500000000000000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</row>
    <row r="38" spans="1:75" ht="15.3" x14ac:dyDescent="0.5500000000000000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</row>
    <row r="39" spans="1:75" ht="15.3" x14ac:dyDescent="0.5500000000000000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</row>
    <row r="40" spans="1:75" ht="15.3" x14ac:dyDescent="0.5500000000000000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</row>
    <row r="41" spans="1:75" ht="15.3" x14ac:dyDescent="0.5500000000000000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</row>
    <row r="42" spans="1:75" ht="15.3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</row>
    <row r="43" spans="1:75" ht="15.3" x14ac:dyDescent="0.5500000000000000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</row>
    <row r="44" spans="1:75" ht="15.3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</row>
    <row r="45" spans="1:75" ht="15.3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</row>
    <row r="46" spans="1:75" ht="15.3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</row>
    <row r="47" spans="1:75" ht="15.3" x14ac:dyDescent="0.5500000000000000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</row>
    <row r="48" spans="1:75" ht="15.3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</row>
    <row r="49" spans="1:75" ht="15.3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</row>
    <row r="50" spans="1:75" ht="15.3" x14ac:dyDescent="0.5500000000000000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</row>
    <row r="51" spans="1:75" ht="15.3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</row>
    <row r="52" spans="1:75" ht="15.3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</row>
    <row r="53" spans="1:75" ht="15.3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</row>
    <row r="54" spans="1:75" ht="15.3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</row>
    <row r="55" spans="1:75" ht="15.3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</row>
    <row r="56" spans="1:75" ht="15.3" x14ac:dyDescent="0.5500000000000000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</row>
    <row r="57" spans="1:75" ht="15.3" x14ac:dyDescent="0.5500000000000000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</row>
    <row r="58" spans="1:75" ht="15.3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</row>
    <row r="59" spans="1:75" ht="15.3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</row>
    <row r="60" spans="1:75" ht="15.3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</row>
    <row r="61" spans="1:75" ht="15.3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</row>
    <row r="62" spans="1:75" ht="15.3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Frecuencia Inspección</vt:lpstr>
      <vt:lpstr>Hoja2</vt:lpstr>
      <vt:lpstr>San Martín de Porres</vt:lpstr>
      <vt:lpstr>Goya Santo Domingo</vt:lpstr>
      <vt:lpstr>Profuveca</vt:lpstr>
      <vt:lpstr>Frecuencia Inspección (2)</vt:lpstr>
      <vt:lpstr>Frecuencia Inspección (3)</vt:lpstr>
      <vt:lpstr>Frecuencia Inspección (4)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LEANDRO DE PADUA MERCEDES</dc:creator>
  <cp:lastModifiedBy>cerberusdemoapps@outlook.com</cp:lastModifiedBy>
  <cp:lastPrinted>2024-08-28T17:42:09Z</cp:lastPrinted>
  <dcterms:created xsi:type="dcterms:W3CDTF">2024-08-28T14:14:54Z</dcterms:created>
  <dcterms:modified xsi:type="dcterms:W3CDTF">2026-06-02T03:03:06Z</dcterms:modified>
</cp:coreProperties>
</file>