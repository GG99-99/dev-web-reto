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SBR\"/>
    </mc:Choice>
  </mc:AlternateContent>
  <xr:revisionPtr revIDLastSave="0" documentId="13_ncr:1_{85BF105C-D355-4725-A6E8-E9F775977698}" xr6:coauthVersionLast="47" xr6:coauthVersionMax="47" xr10:uidLastSave="{00000000-0000-0000-0000-000000000000}"/>
  <bookViews>
    <workbookView xWindow="-96" yWindow="-96" windowWidth="23232" windowHeight="13872" activeTab="1" xr2:uid="{0B5A73B0-FE5B-4CE6-8C79-C9ED7EB4D309}"/>
  </bookViews>
  <sheets>
    <sheet name="Ficha Inspección BPM" sheetId="5" r:id="rId1"/>
    <sheet name="Hoja1" sheetId="8" r:id="rId2"/>
    <sheet name="Guía de Llenado" sheetId="7" r:id="rId3"/>
  </sheets>
  <definedNames>
    <definedName name="_Hlk503470155" localSheetId="0">'Ficha Inspección BPM'!#REF!</definedName>
    <definedName name="_Hlk503470155" localSheetId="2">'Guía de Llenado'!#REF!</definedName>
    <definedName name="_Hlk503470226" localSheetId="0">'Ficha Inspección BPM'!#REF!</definedName>
    <definedName name="_Hlk503470226" localSheetId="2">'Guía de Llenado'!#REF!</definedName>
    <definedName name="_Hlk66869194" localSheetId="0">'Ficha Inspección BPM'!#REF!</definedName>
    <definedName name="_Hlk66869194" localSheetId="2">'Guía de Llenado'!$A$2</definedName>
    <definedName name="_Toc492033523" localSheetId="0">'Ficha Inspección BPM'!$AK$134</definedName>
    <definedName name="_Toc492033523" localSheetId="2">'Guía de Llenado'!$AE$262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0" i="5" l="1"/>
  <c r="AC174" i="5"/>
  <c r="AC175" i="5" s="1"/>
  <c r="AC83" i="5"/>
  <c r="AC84" i="5" s="1"/>
  <c r="AC192" i="5"/>
  <c r="AC193" i="5" s="1"/>
  <c r="AC188" i="5"/>
  <c r="AC189" i="5" s="1"/>
  <c r="AC183" i="5"/>
  <c r="AC182" i="5"/>
  <c r="AC178" i="5"/>
  <c r="AC179" i="5" s="1"/>
  <c r="AC170" i="5"/>
  <c r="AC171" i="5" s="1"/>
  <c r="AC166" i="5"/>
  <c r="AC167" i="5" s="1"/>
  <c r="AC161" i="5"/>
  <c r="AC162" i="5" s="1"/>
  <c r="AC157" i="5"/>
  <c r="AC158" i="5" s="1"/>
  <c r="AC153" i="5"/>
  <c r="AC154" i="5" s="1"/>
  <c r="AC147" i="5"/>
  <c r="AC148" i="5" s="1"/>
  <c r="AC143" i="5"/>
  <c r="AC144" i="5" s="1"/>
  <c r="AC139" i="5"/>
  <c r="AC140" i="5" s="1"/>
  <c r="AC135" i="5"/>
  <c r="AC136" i="5" s="1"/>
  <c r="AC131" i="5"/>
  <c r="AC132" i="5" s="1"/>
  <c r="AC125" i="5"/>
  <c r="AC126" i="5" s="1"/>
  <c r="AC121" i="5"/>
  <c r="AC122" i="5" s="1"/>
  <c r="AC117" i="5"/>
  <c r="AC118" i="5" s="1"/>
  <c r="AC112" i="5"/>
  <c r="AC113" i="5" s="1"/>
  <c r="AC108" i="5"/>
  <c r="AC109" i="5" s="1"/>
  <c r="AC104" i="5"/>
  <c r="AC103" i="5"/>
  <c r="AC102" i="5"/>
  <c r="AC98" i="5"/>
  <c r="AC99" i="5" s="1"/>
  <c r="AC94" i="5"/>
  <c r="AC93" i="5"/>
  <c r="AC89" i="5"/>
  <c r="AC88" i="5"/>
  <c r="AC87" i="5"/>
  <c r="AC79" i="5"/>
  <c r="AC78" i="5"/>
  <c r="AC73" i="5"/>
  <c r="AC74" i="5" s="1"/>
  <c r="AC69" i="5"/>
  <c r="AC70" i="5" s="1"/>
  <c r="AC65" i="5"/>
  <c r="AC64" i="5"/>
  <c r="AC60" i="5"/>
  <c r="AC56" i="5"/>
  <c r="AC52" i="5"/>
  <c r="AC47" i="5"/>
  <c r="AC46" i="5"/>
  <c r="AC41" i="5"/>
  <c r="AC42" i="5"/>
  <c r="AC40" i="5"/>
  <c r="V40" i="5"/>
  <c r="U41" i="5"/>
  <c r="U42" i="5"/>
  <c r="U46" i="5"/>
  <c r="V46" i="5"/>
  <c r="U47" i="5"/>
  <c r="U52" i="5"/>
  <c r="U53" i="5" s="1"/>
  <c r="U56" i="5"/>
  <c r="U57" i="5" s="1"/>
  <c r="U60" i="5"/>
  <c r="U61" i="5" s="1"/>
  <c r="V60" i="5"/>
  <c r="U64" i="5"/>
  <c r="V64" i="5"/>
  <c r="U65" i="5"/>
  <c r="V65" i="5"/>
  <c r="U69" i="5"/>
  <c r="U70" i="5" s="1"/>
  <c r="V69" i="5"/>
  <c r="U73" i="5"/>
  <c r="U74" i="5" s="1"/>
  <c r="V73" i="5"/>
  <c r="U78" i="5"/>
  <c r="V78" i="5"/>
  <c r="U79" i="5"/>
  <c r="U83" i="5"/>
  <c r="U84" i="5" s="1"/>
  <c r="V83" i="5"/>
  <c r="U87" i="5"/>
  <c r="V87" i="5"/>
  <c r="U88" i="5"/>
  <c r="V88" i="5"/>
  <c r="U89" i="5"/>
  <c r="U93" i="5"/>
  <c r="U94" i="5"/>
  <c r="U98" i="5"/>
  <c r="U99" i="5" s="1"/>
  <c r="U102" i="5"/>
  <c r="U103" i="5"/>
  <c r="V103" i="5"/>
  <c r="U104" i="5"/>
  <c r="V104" i="5"/>
  <c r="U108" i="5"/>
  <c r="U109" i="5" s="1"/>
  <c r="U112" i="5"/>
  <c r="U113" i="5" s="1"/>
  <c r="U117" i="5"/>
  <c r="U118" i="5" s="1"/>
  <c r="V117" i="5"/>
  <c r="U121" i="5"/>
  <c r="U122" i="5" s="1"/>
  <c r="U125" i="5"/>
  <c r="U126" i="5" s="1"/>
  <c r="U131" i="5"/>
  <c r="U132" i="5" s="1"/>
  <c r="V131" i="5"/>
  <c r="U135" i="5"/>
  <c r="U136" i="5" s="1"/>
  <c r="V135" i="5"/>
  <c r="U139" i="5"/>
  <c r="U140" i="5" s="1"/>
  <c r="V139" i="5"/>
  <c r="U143" i="5"/>
  <c r="U147" i="5"/>
  <c r="U153" i="5"/>
  <c r="V153" i="5"/>
  <c r="U157" i="5"/>
  <c r="V157" i="5"/>
  <c r="U161" i="5"/>
  <c r="U162" i="5" s="1"/>
  <c r="V161" i="5"/>
  <c r="U166" i="5"/>
  <c r="V166" i="5"/>
  <c r="U170" i="5"/>
  <c r="V170" i="5"/>
  <c r="U174" i="5"/>
  <c r="U175" i="5" s="1"/>
  <c r="V174" i="5"/>
  <c r="U178" i="5"/>
  <c r="U179" i="5" s="1"/>
  <c r="V178" i="5"/>
  <c r="U182" i="5"/>
  <c r="V182" i="5"/>
  <c r="U183" i="5"/>
  <c r="V183" i="5"/>
  <c r="U188" i="5"/>
  <c r="V188" i="5"/>
  <c r="U192" i="5"/>
  <c r="V192" i="5"/>
  <c r="J205" i="5" l="1"/>
  <c r="U95" i="5"/>
  <c r="U90" i="5"/>
  <c r="U66" i="5"/>
  <c r="U43" i="5"/>
  <c r="U144" i="5"/>
  <c r="V98" i="5" s="1"/>
  <c r="V52" i="5" s="1"/>
  <c r="J206" i="5"/>
  <c r="U154" i="5"/>
  <c r="V108" i="5" s="1"/>
  <c r="U184" i="5"/>
  <c r="U193" i="5"/>
  <c r="V147" i="5" s="1"/>
  <c r="U189" i="5"/>
  <c r="V143" i="5" s="1"/>
  <c r="U171" i="5"/>
  <c r="V125" i="5" s="1"/>
  <c r="V79" i="5" s="1"/>
  <c r="U167" i="5"/>
  <c r="V121" i="5" s="1"/>
  <c r="U158" i="5"/>
  <c r="V112" i="5" s="1"/>
  <c r="U148" i="5"/>
  <c r="V102" i="5" s="1"/>
  <c r="V56" i="5" s="1"/>
  <c r="U105" i="5"/>
  <c r="U80" i="5"/>
  <c r="U48" i="5"/>
  <c r="AC184" i="5"/>
  <c r="AC90" i="5"/>
  <c r="V89" i="5"/>
  <c r="AC80" i="5"/>
  <c r="AC105" i="5"/>
  <c r="AC95" i="5"/>
  <c r="V93" i="5"/>
  <c r="V47" i="5" s="1"/>
  <c r="V42" i="5"/>
  <c r="V41" i="5"/>
  <c r="V94" i="5"/>
  <c r="U194" i="5" l="1"/>
  <c r="G204" i="5" s="1"/>
  <c r="AC43" i="5"/>
  <c r="AC48" i="5"/>
  <c r="AC53" i="5"/>
  <c r="AC57" i="5"/>
  <c r="AC61" i="5"/>
  <c r="AC66" i="5"/>
  <c r="AC194" i="5" l="1"/>
  <c r="I204" i="5" l="1"/>
  <c r="J207" i="5" l="1"/>
</calcChain>
</file>

<file path=xl/sharedStrings.xml><?xml version="1.0" encoding="utf-8"?>
<sst xmlns="http://schemas.openxmlformats.org/spreadsheetml/2006/main" count="1496" uniqueCount="655">
  <si>
    <t>DATOS DEL ESTABLECIMIENTO</t>
  </si>
  <si>
    <t>Nombre</t>
  </si>
  <si>
    <t>Calle</t>
  </si>
  <si>
    <t>No.</t>
  </si>
  <si>
    <t>Municipio</t>
  </si>
  <si>
    <t>Teléfono</t>
  </si>
  <si>
    <t>Correo electrónico</t>
  </si>
  <si>
    <t>RNC</t>
  </si>
  <si>
    <t>Fecha de inicio de operaciones</t>
  </si>
  <si>
    <t>No. del Permiso Sanitario</t>
  </si>
  <si>
    <t>Fecha de vencimiento</t>
  </si>
  <si>
    <t>Motivo de la inspección</t>
  </si>
  <si>
    <t>Número de empleados</t>
  </si>
  <si>
    <t>M</t>
  </si>
  <si>
    <t>F</t>
  </si>
  <si>
    <t>DATOS DE LOS CONTACTOS</t>
  </si>
  <si>
    <t>Teléfono celular</t>
  </si>
  <si>
    <t>DATOS DE CONTROL INTERNO</t>
  </si>
  <si>
    <t>Fecha de la última inspección</t>
  </si>
  <si>
    <t>Calificación</t>
  </si>
  <si>
    <t>Fecha de la inspección actual</t>
  </si>
  <si>
    <t>Nombre del Oficial de Salud de la DPS/DAS</t>
  </si>
  <si>
    <t>Nombre del Técnico de la DIGEMAPS</t>
  </si>
  <si>
    <t>Mercado objetivo</t>
  </si>
  <si>
    <t>Grasas, aceites y emulsiones grasas</t>
  </si>
  <si>
    <t>Hielo comestible y helados a base de agua</t>
  </si>
  <si>
    <t>Frutas y hortalizas</t>
  </si>
  <si>
    <t>Productos de confitería</t>
  </si>
  <si>
    <t>Cereales y derivados</t>
  </si>
  <si>
    <t>Pan y productos de panadería y pastelería</t>
  </si>
  <si>
    <t>Carnes y productos cárnicos</t>
  </si>
  <si>
    <t>Pescados, derivados y productos marinos</t>
  </si>
  <si>
    <t>Huevos y derivados</t>
  </si>
  <si>
    <t>Endulzantes o edulcorantes, incluida la miel de abeja</t>
  </si>
  <si>
    <t>Salsas, aderezos, especias y condimentos</t>
  </si>
  <si>
    <t>Alimentos para usos nutricionales especiales</t>
  </si>
  <si>
    <t>Bebidas no alcohólicas</t>
  </si>
  <si>
    <t>Bocadillos</t>
  </si>
  <si>
    <t>Caldos, sopas, cremas y mezclas deshidratadas</t>
  </si>
  <si>
    <t>Alimentos listos para consumir</t>
  </si>
  <si>
    <t>Renovación de Permiso Sanitario</t>
  </si>
  <si>
    <t>Solicitud de Permiso Sanitario</t>
  </si>
  <si>
    <t>Solicitud de Certificación BPM</t>
  </si>
  <si>
    <t>Inspección programada</t>
  </si>
  <si>
    <t>Inspección de control</t>
  </si>
  <si>
    <t>Investigación por denuncia</t>
  </si>
  <si>
    <t>Otro</t>
  </si>
  <si>
    <t>Resultados de la inspección</t>
  </si>
  <si>
    <t>Detalle</t>
  </si>
  <si>
    <t>Puntos</t>
  </si>
  <si>
    <t>Observaciones</t>
  </si>
  <si>
    <t>SUB TOTAL</t>
  </si>
  <si>
    <t>MEDIDAS CORRECTIVAS Y RECOMENDACIONES</t>
  </si>
  <si>
    <t>DETALLE</t>
  </si>
  <si>
    <t>FECHA CUMPLIMIENTO</t>
  </si>
  <si>
    <t>NC</t>
  </si>
  <si>
    <t>TOTAL GENERAL</t>
  </si>
  <si>
    <t>CRITERIOS DE CALIFICACIÓN</t>
  </si>
  <si>
    <t>Considerar cierre</t>
  </si>
  <si>
    <t>Condiciones deficientes</t>
  </si>
  <si>
    <t>Urge corregir</t>
  </si>
  <si>
    <t>Condiciones regulares</t>
  </si>
  <si>
    <t>Hacer agunas correcciones</t>
  </si>
  <si>
    <t>Buenas condiciones</t>
  </si>
  <si>
    <t>Necesario hacer correcciones</t>
  </si>
  <si>
    <t>Calificación final</t>
  </si>
  <si>
    <t>Firma</t>
  </si>
  <si>
    <t>Fecha</t>
  </si>
  <si>
    <t>Nombre técnico de la DIGEMAPS</t>
  </si>
  <si>
    <t>Fecha próxima visita</t>
  </si>
  <si>
    <t>√</t>
  </si>
  <si>
    <t>Crítico</t>
  </si>
  <si>
    <t>C</t>
  </si>
  <si>
    <t>Mayor</t>
  </si>
  <si>
    <t>Menor</t>
  </si>
  <si>
    <t>m</t>
  </si>
  <si>
    <t>&lt; 60%: Considerar Cierre</t>
  </si>
  <si>
    <t>61%-70%: Urge Corregir</t>
  </si>
  <si>
    <t>71%-80% Necesario Corregir</t>
  </si>
  <si>
    <t>&gt; 81%: Algunas Correcciones</t>
  </si>
  <si>
    <t>Total puntos posibles (100% aceptación)</t>
  </si>
  <si>
    <t>Ficha de inspección BPM</t>
  </si>
  <si>
    <t>&gt; 81%: Otorgar Permiso Sanitario</t>
  </si>
  <si>
    <t>Sí</t>
  </si>
  <si>
    <t>No</t>
  </si>
  <si>
    <t>1. ESTABLECIMIENTO - DISEÑO DE LAS INSTALACIONES Y EQUIPO</t>
  </si>
  <si>
    <t>1.1. Ubicación y estructura</t>
  </si>
  <si>
    <t>1.1.1. Ubicación del establecimiento</t>
  </si>
  <si>
    <t>CP</t>
  </si>
  <si>
    <t>1.1.3. Estructuras internas y accesorios</t>
  </si>
  <si>
    <t>1.2. Instalaciones</t>
  </si>
  <si>
    <t>1.2.1. Drenaje y eliminación de residuos</t>
  </si>
  <si>
    <t>1.2.2. Instalaciones de limpieza</t>
  </si>
  <si>
    <t>1.2.3. Instalaciones para la higiene personal y servicios sanitarios</t>
  </si>
  <si>
    <t>1.2.4. Temperatura</t>
  </si>
  <si>
    <t>1.2.5. Calidad del aire y ventilación</t>
  </si>
  <si>
    <t>1.2.6. Iluminación</t>
  </si>
  <si>
    <t>1.2.7. Almacenamiento</t>
  </si>
  <si>
    <t>1.3. Equipo</t>
  </si>
  <si>
    <t>2. CAPACITACIÓN Y COMPETENCIA</t>
  </si>
  <si>
    <t>2.1. Conocimiento y responsabilidades</t>
  </si>
  <si>
    <t>2.2. Programas de capacitación</t>
  </si>
  <si>
    <t>2.3. Instrucción y supervisión</t>
  </si>
  <si>
    <t>3.1. Mantenimiento y limpieza</t>
  </si>
  <si>
    <t>3.1.1. Consideraciones generales</t>
  </si>
  <si>
    <t>3.1.2. Métodos y procedimientos de limpieza y desinfección</t>
  </si>
  <si>
    <t>3.1.3 Monitoreo/seguimiento de la eficacia</t>
  </si>
  <si>
    <t>3.2. Sistemas de control de plagas</t>
  </si>
  <si>
    <t>4. HIGIENE PERSONAL</t>
  </si>
  <si>
    <t>5. . CONTROL DE LAS OPERACIONES</t>
  </si>
  <si>
    <t>5.1. Descripción de los productos y procesos</t>
  </si>
  <si>
    <t>5.1.1. Descripción del producto</t>
  </si>
  <si>
    <t>5.3. Agua</t>
  </si>
  <si>
    <t>6. INFORMACIÓN SOBRE LOS PRODUCTOS Y SENSIBILIZACIÓN DEL CONSUMIDOR</t>
  </si>
  <si>
    <t>7. TRANSPORTE</t>
  </si>
  <si>
    <t>IT</t>
  </si>
  <si>
    <t>1.1.3.1. Paredes</t>
  </si>
  <si>
    <t>1.1.3.2. Pisos</t>
  </si>
  <si>
    <t>N/A</t>
  </si>
  <si>
    <t>1.1.3.3. Techos</t>
  </si>
  <si>
    <t xml:space="preserve">1.1.3.4. Ventanas </t>
  </si>
  <si>
    <t>1.1.3.5. Puertas</t>
  </si>
  <si>
    <t>5.2. Aspectos fundamentales de las BPM</t>
  </si>
  <si>
    <t>1.1.2. Diseño y disposición del establecimiento</t>
  </si>
  <si>
    <t xml:space="preserve">Condiciones inaceptables </t>
  </si>
  <si>
    <t>ELABORÓ</t>
  </si>
  <si>
    <t>REVISÓ</t>
  </si>
  <si>
    <t>APROBÓ</t>
  </si>
  <si>
    <t>DIGEMAPS</t>
  </si>
  <si>
    <t>Lic. Leandro Villanueva A.</t>
  </si>
  <si>
    <r>
      <t>1.</t>
    </r>
    <r>
      <rPr>
        <b/>
        <sz val="7"/>
        <color rgb="FF000000"/>
        <rFont val="Times New Roman"/>
        <family val="1"/>
      </rPr>
      <t xml:space="preserve">      </t>
    </r>
    <r>
      <rPr>
        <b/>
        <sz val="12"/>
        <color rgb="FF000000"/>
        <rFont val="Calibri"/>
        <family val="2"/>
      </rPr>
      <t>Revisión y aprobación</t>
    </r>
  </si>
  <si>
    <t>Consultor internacional</t>
  </si>
  <si>
    <t>Director General</t>
  </si>
  <si>
    <t>b) La intensidad debe ser suficiente para la naturaleza de la actividad que se realice.</t>
  </si>
  <si>
    <t>Código</t>
  </si>
  <si>
    <t xml:space="preserve">Revisión </t>
  </si>
  <si>
    <t xml:space="preserve"> FO-DDA-XX</t>
  </si>
  <si>
    <t xml:space="preserve"> abril 2024</t>
  </si>
  <si>
    <r>
      <rPr>
        <b/>
        <sz val="14"/>
        <color theme="1"/>
        <rFont val="Times New Roman"/>
        <family val="1"/>
      </rPr>
      <t>C</t>
    </r>
    <r>
      <rPr>
        <sz val="12"/>
        <color theme="1"/>
        <rFont val="Times New Roman"/>
        <family val="1"/>
      </rPr>
      <t xml:space="preserve">: Cumple, </t>
    </r>
    <r>
      <rPr>
        <b/>
        <sz val="14"/>
        <color theme="1"/>
        <rFont val="Times New Roman"/>
        <family val="1"/>
      </rPr>
      <t>CP</t>
    </r>
    <r>
      <rPr>
        <sz val="12"/>
        <color theme="1"/>
        <rFont val="Times New Roman"/>
        <family val="1"/>
      </rPr>
      <t xml:space="preserve">: Cumplimiento parcial, </t>
    </r>
    <r>
      <rPr>
        <b/>
        <sz val="14"/>
        <color theme="1"/>
        <rFont val="Times New Roman"/>
        <family val="1"/>
      </rPr>
      <t>IT</t>
    </r>
    <r>
      <rPr>
        <sz val="12"/>
        <color theme="1"/>
        <rFont val="Times New Roman"/>
        <family val="1"/>
      </rPr>
      <t xml:space="preserve">: Incumplimiento total, </t>
    </r>
    <r>
      <rPr>
        <b/>
        <sz val="12"/>
        <color theme="1"/>
        <rFont val="Times New Roman"/>
        <family val="1"/>
      </rPr>
      <t>N/A</t>
    </r>
    <r>
      <rPr>
        <sz val="12"/>
        <color theme="1"/>
        <rFont val="Times New Roman"/>
        <family val="1"/>
      </rPr>
      <t xml:space="preserve">: No aplica, </t>
    </r>
    <r>
      <rPr>
        <b/>
        <sz val="14"/>
        <color theme="1"/>
        <rFont val="Times New Roman"/>
        <family val="1"/>
      </rPr>
      <t>NC</t>
    </r>
    <r>
      <rPr>
        <sz val="12"/>
        <color theme="1"/>
        <rFont val="Times New Roman"/>
        <family val="1"/>
      </rPr>
      <t>: Nivel de Criticidad</t>
    </r>
  </si>
  <si>
    <t>Coordinadores Departamento de Alimentos, DIGEMAPS</t>
  </si>
  <si>
    <r>
      <t xml:space="preserve">1.1.3.6.  Superficies en </t>
    </r>
    <r>
      <rPr>
        <b/>
        <sz val="12"/>
        <color theme="1"/>
        <rFont val="Times New Roman"/>
        <family val="1"/>
      </rPr>
      <t>contacto con</t>
    </r>
    <r>
      <rPr>
        <b/>
        <sz val="14"/>
        <color theme="1"/>
        <rFont val="Times New Roman"/>
        <family val="1"/>
      </rPr>
      <t xml:space="preserve"> </t>
    </r>
    <r>
      <rPr>
        <b/>
        <sz val="12"/>
        <color theme="1"/>
        <rFont val="Times New Roman"/>
        <family val="1"/>
      </rPr>
      <t>los alimentos</t>
    </r>
  </si>
  <si>
    <t>3. MANTENIMIENTO, LIMPIEZA, DESINFECCIÓN Y CONTROL DE PLAGAS EN EL ESTABLECIMIENTO</t>
  </si>
  <si>
    <t>c) Las luminarias  están protegidas, cuando corresponda, para garantizar que los alimentos no se contaminen en caso de rotura de los elementos de iluminación.</t>
  </si>
  <si>
    <t>a) Los establecimientos cuentan con un filtro sanitario a la entrada del área de producción.</t>
  </si>
  <si>
    <t>Construidos de manera que reduzcan al mínimo la acumulación de suciedad y de condensación, así como el desprendimiento de partículas.</t>
  </si>
  <si>
    <t>b) La disposición de las áreas y el flujo de las operaciones evitan o reducen al mínimo la contaminación cruzada.</t>
  </si>
  <si>
    <r>
      <t xml:space="preserve">a) El </t>
    </r>
    <r>
      <rPr>
        <sz val="12"/>
        <rFont val="Times New Roman"/>
        <family val="1"/>
      </rPr>
      <t>diseño</t>
    </r>
    <r>
      <rPr>
        <sz val="12"/>
        <color theme="1"/>
        <rFont val="Times New Roman"/>
        <family val="1"/>
      </rPr>
      <t xml:space="preserve"> y la disposición del establecimiento permite la limpieza y el mantenimiento de manera adecuada.</t>
    </r>
  </si>
  <si>
    <t>Productos lácteos líquidos no fermentados, proceso de pasteurización y UHT  </t>
  </si>
  <si>
    <t xml:space="preserve">Productos lácteos fermentados </t>
  </si>
  <si>
    <t>Grasa láctea</t>
  </si>
  <si>
    <t>Quesos  pasteurizados</t>
  </si>
  <si>
    <t>Productos lácteos en polvo  </t>
  </si>
  <si>
    <t>Helados</t>
  </si>
  <si>
    <t>Dulces</t>
  </si>
  <si>
    <t>Productos lácteos no pasteurizados  </t>
  </si>
  <si>
    <t>Pescado y productos pesqueros, incluidos moluscos, crustáceos y equinodermos</t>
  </si>
  <si>
    <t>Grasas y aceites (aw muy baja: &lt;0.6)</t>
  </si>
  <si>
    <t>Emulsiones grasas, principalmente del tipo agua en aceite</t>
  </si>
  <si>
    <t>Emulsiones grasas, principalmente del tipo agua en aceite, incluidos los productos a base de emulsiones grasas mezcladas y/o aromatizados</t>
  </si>
  <si>
    <t>Hielo en fundas</t>
  </si>
  <si>
    <t>Hielo en bloques</t>
  </si>
  <si>
    <t xml:space="preserve">Frutas congeladas </t>
  </si>
  <si>
    <t>Frutas desecadas</t>
  </si>
  <si>
    <t>Frutas en vinagre, aceite o salmuera</t>
  </si>
  <si>
    <t>Frutas en conserva, enlatadas o en frascos (pasteurizadas)</t>
  </si>
  <si>
    <t>Confituras, jaleas, mermeladas</t>
  </si>
  <si>
    <t>Hortalizas, algas marinas, nueces y semillas congeladas</t>
  </si>
  <si>
    <t>Hortalizas, algas marinas, nueces y semillas desecadas</t>
  </si>
  <si>
    <t>Hortalizas, algas marinas, nueces y semillas en vinagre, aceite, salmuera o salsa de soja</t>
  </si>
  <si>
    <t xml:space="preserve">Hortalizas, algas marinas, nueces y semillas en conserva, en latas o frascos (pasteurizadas) o en bolsas de esterilización </t>
  </si>
  <si>
    <t>Purés y preparados para untar elaborados con hortalizas (incluidos hongos y setas, raíces y tubérculos, legumbres y leguminosas, incluyendo el maní).</t>
  </si>
  <si>
    <t>Pulpas y preparados de hortalizas</t>
  </si>
  <si>
    <t xml:space="preserve">Productos a base de hortalizas fermentadas, excluidos los productos fermentados de soja </t>
  </si>
  <si>
    <t xml:space="preserve">Productos de cacao y chocolate, incluidos los productos de imitación y los sucedáneos del chocolate. </t>
  </si>
  <si>
    <t>Dulces  incluidos los caramelos duros y blandos, los turrones, etc.</t>
  </si>
  <si>
    <t>Goma de mascar</t>
  </si>
  <si>
    <t>Decoraciones (p. ej. para productos de pastelería fina), revestimientos (que no sean de fruta) y salsas dulces</t>
  </si>
  <si>
    <t>Granos enteros, triturados o en copos, incluido el arroz</t>
  </si>
  <si>
    <t>Harinas y almidones</t>
  </si>
  <si>
    <t>Cereales para el desayuno, incluidos los copos de avena</t>
  </si>
  <si>
    <t xml:space="preserve">Pastas y fideos frescos y productos análogos </t>
  </si>
  <si>
    <t xml:space="preserve">
Pastas y fideos deshidratados y productos análogos </t>
  </si>
  <si>
    <t>Pastas y fideos precocidos y productos análogos</t>
  </si>
  <si>
    <t>Mezclas batidas para rebozar (p. ej. para empanar o rebozar pescado o carne de aves de corral)</t>
  </si>
  <si>
    <t>Productos a base de arroz precocidos o elaborados, incluidas las tortas de arroz (sólo del tipo oriental)</t>
  </si>
  <si>
    <t>Productos a base de soja (excluidos aderezos y condimentos a base de soja)</t>
  </si>
  <si>
    <t>Cuajada de soja deshidratada</t>
  </si>
  <si>
    <t>Soja fermentada</t>
  </si>
  <si>
    <t>Pan y productos de panadería ordinaria</t>
  </si>
  <si>
    <t>Productos de panadería fina (dulces, salados, aromatizados) y mezclas</t>
  </si>
  <si>
    <t>Crudo no intacto</t>
  </si>
  <si>
    <t>Crudo intacto</t>
  </si>
  <si>
    <t>Procesado térmicamente - Comercialmente estéril</t>
  </si>
  <si>
    <t xml:space="preserve">No tratado térmicamente - Estable a temperatura ambiente
</t>
  </si>
  <si>
    <t>Tratado térmicamente - Estable a temperatura ambiente</t>
  </si>
  <si>
    <t>Completamente cocido - No estable a temperatura ambiente</t>
  </si>
  <si>
    <t>Tratado térmico parcial (sin alcanzar la letalidad)
 - No estable a temperatura ambiente</t>
  </si>
  <si>
    <t>Pescado, filetes de pescado y productos pesqueros congelados, incluidos moluscos, 
crustáceos y equinodermos</t>
  </si>
  <si>
    <t>Pescado, filetes de pescado y productos pesqueros rebozados congelados, incluidos 
moluscos, crustáceos y equinodermos</t>
  </si>
  <si>
    <t>Productos pesqueros picados, amalgamados (mezclados) y congelados, incluidos moluscos, 
crustáceos y equinodermos</t>
  </si>
  <si>
    <t>Pescado y productos pesqueros cocidos, incluidos moluscos, crustáceos y 
equinodermos</t>
  </si>
  <si>
    <t>Pescado y productos pesqueros fritos, incluidos moluscos, crustáceos y 
equinodermos</t>
  </si>
  <si>
    <t>Pescado y productos pesqueros ahumados, desecados, fermentados y/o salados, 
incluidos moluscos, crustáceos y equinodermos</t>
  </si>
  <si>
    <t>Pescado y productos pesqueros marinados y/o en gelatina, incluidos moluscos, 
crustáceos y equinodermos</t>
  </si>
  <si>
    <t>Sucedáneos de salmón, caviar y otros productos pesqueros a base de huevas</t>
  </si>
  <si>
    <t>Pescado y productos pesqueros (incluidos los moluscos, crustáceos y equinodermos) en 
conserva, con inclusión de los enlatados y fermentados</t>
  </si>
  <si>
    <t>Huevos frescos</t>
  </si>
  <si>
    <t>Productos líquidos a base de huevo pasteurizado</t>
  </si>
  <si>
    <t xml:space="preserve">
Productos congelados a base de huevo pasteurizado</t>
  </si>
  <si>
    <t>Productos a base de huevo en polvo y/o cuajados por calor</t>
  </si>
  <si>
    <t>Huevos en conserva, incluidos los huevos en álcali, salados y envasados</t>
  </si>
  <si>
    <t>Azúcares refinados y en bruto</t>
  </si>
  <si>
    <t>Soluciones azucaradas y jarabes, también azúcares (parcialmente) invertidos, incluida la melaza</t>
  </si>
  <si>
    <t>Otros azúcares y jarabes (por ej. xilosa, jarabe de arce y revestimientos de azúcar)</t>
  </si>
  <si>
    <t>Miel</t>
  </si>
  <si>
    <t>Edulcorantes de mesa, incluidos los que contienen edulcorantes de gran intensidad</t>
  </si>
  <si>
    <t>Sal y sucedáneos de la sal</t>
  </si>
  <si>
    <t>Hierbas aromáticas, especias, aderezos y condimentos (p. ej. el aderezo para fideos instantáneos)</t>
  </si>
  <si>
    <t>Vinagres</t>
  </si>
  <si>
    <t>Mostazas</t>
  </si>
  <si>
    <t>Sopas y caldos</t>
  </si>
  <si>
    <t>Salsas y productos análogos</t>
  </si>
  <si>
    <t>Levadura y productos similares</t>
  </si>
  <si>
    <t>Aderezos y condimentos a base de soja</t>
  </si>
  <si>
    <t>Productos proteínicos distintos a los de soja</t>
  </si>
  <si>
    <t>Preparados de continuación líquidos</t>
  </si>
  <si>
    <t>Preparados de continuación en polvo</t>
  </si>
  <si>
    <t>Preparados para usos medicinales específicos destinados a los lactantes líquidos</t>
  </si>
  <si>
    <t>Alimentos complementarios para lactantes y niños pequeños sólidos (polvos y granulados)</t>
  </si>
  <si>
    <t>Alimentos complementarios para lactantes y niños pequeños semisólidos (compotas)</t>
  </si>
  <si>
    <t>Alimentos dietéticos para usos medicinales especiales (excluidos los productos de preparados para lactantes, preparados de continuación y preparados para usos medicinales especiales destinados a los lactantes )</t>
  </si>
  <si>
    <t>Preparados dietéticos para adelgazamiento y control del peso</t>
  </si>
  <si>
    <t>Alimentos dietéticos (p. ej. los complementos alimenticios para usos dietéticos), excluidos los indicados en las categorías de alimentos Preparados para lactantes, preparados de continuación y preparados para usos medicinales especiales destinados a los lactantes, Alimentos complementarios para lactantes y niños pequeños, Alimentos dietéticos para usos medicinales especiales (excluidos los productos de preparados para lactantes, preparados de continuación y preparados para usos medicinales especiales destinados a los lactantes, Preparados dietéticos para adelgazamiento y control del peso y Complementos alimenticios.</t>
  </si>
  <si>
    <t>Complementos alimenticios</t>
  </si>
  <si>
    <t>Aguas</t>
  </si>
  <si>
    <t>Jugos y néctares de frutas y hortalizas  tratados térmicamente</t>
  </si>
  <si>
    <t>Bebidas a base de agua aromatizadas, incluidas las bebidas para deportistas, bebidas electrolíticas y bebidas con partículas añadidas</t>
  </si>
  <si>
    <t>Café, sucedáneos del café, té, infusiones de hierbas y otras bebidas calientes a base de cereales y granos, excluido el cacao</t>
  </si>
  <si>
    <t>Cerveza y bebidas a base de malta</t>
  </si>
  <si>
    <t>Sidra y sidra de pera</t>
  </si>
  <si>
    <t>Vinos de uva</t>
  </si>
  <si>
    <t>Vinos (distintos de los de uva)</t>
  </si>
  <si>
    <t>Aguamiel</t>
  </si>
  <si>
    <t>Licores destilados que contengan más de un 15 por ciento de alcohol</t>
  </si>
  <si>
    <t>Bebidas alcohólicas aromatizadas (p. ej. cerveza, vino y bebidas espirituosas tipo refresco, refrescos con bajo contenido de alcohol)</t>
  </si>
  <si>
    <t>Aperitivos a base de patatas (papas), cereales, harina o almidón (derivados de raíces y tubérculos, legumbres y leguminosas)</t>
  </si>
  <si>
    <t>Nueces elaboradas, incluidas las nueces revestidas y mezclas de nueces (p. ej. con frutas secas)</t>
  </si>
  <si>
    <t>Aperitivos a base de pescado</t>
  </si>
  <si>
    <t xml:space="preserve">Postres a base de leche </t>
  </si>
  <si>
    <t>Postres a base de huevo</t>
  </si>
  <si>
    <t>Postres a base de grasas, excluidos los postres lácteos (como pudines, yogur aromatizado o con fruta)</t>
  </si>
  <si>
    <t>Postres a base de cereales y almidón (p. ej. pudines de arroz, pudines de mandioca)</t>
  </si>
  <si>
    <t>1. Productos lácteos</t>
  </si>
  <si>
    <t xml:space="preserve">2. Grasas y  aceites y emulsiones grasas </t>
  </si>
  <si>
    <t>3. Hielos comestibles incluidos sorbetes</t>
  </si>
  <si>
    <t>4. Frutas y Hortalizas</t>
  </si>
  <si>
    <t>5. Confitería</t>
  </si>
  <si>
    <t>6. Cereales y productos a base de cereales, derivados de granos de cereales, de raíces y tubérculos, legumbres, leguminosas y médula o corazón blando de palmera, excluidos los productos de panadería</t>
  </si>
  <si>
    <t>7. Productos de panadería</t>
  </si>
  <si>
    <t xml:space="preserve">8. Carne y productos cárnicos, incluidos los de aves de corral y 9. Pescados y productos pesqueros </t>
  </si>
  <si>
    <t>10. Huevos y productos a base de huevo</t>
  </si>
  <si>
    <t>11. Edulcorantes, incluida la miel</t>
  </si>
  <si>
    <t>12. Sales, especias, sopas, salsas, y productos proteínicos</t>
  </si>
  <si>
    <t>13. Productos alimenticios para usos nutricionales especiales</t>
  </si>
  <si>
    <t>14. Bebidas, excluidos los productos lácteos</t>
  </si>
  <si>
    <t>15. Aperitivos listos para el consumo</t>
  </si>
  <si>
    <t>16. Alimentos preparados</t>
  </si>
  <si>
    <t>17. Postres</t>
  </si>
  <si>
    <t xml:space="preserve">8. Carne y productos cárnicos, incluidos los de aves de corral y Pescados y productos pesqueros </t>
  </si>
  <si>
    <t>9. Pescado y productos pesqueros, incluidos moluscos, crustáceos y equinodermos</t>
  </si>
  <si>
    <t>Versión: 1.00</t>
  </si>
  <si>
    <t>Mayo de 2024</t>
  </si>
  <si>
    <t>Helados sorbetes</t>
  </si>
  <si>
    <t>Cumplimiento total</t>
  </si>
  <si>
    <t>Incumplimiento total</t>
  </si>
  <si>
    <t>Guía de Llenado</t>
  </si>
  <si>
    <t>ii.Inexistencia de lugares que se puedan constituir en atracción o refugio para insectos y roedores.</t>
  </si>
  <si>
    <t>Ficha de Inspección BPM</t>
  </si>
  <si>
    <t xml:space="preserve"> IT-DDA-XX</t>
  </si>
  <si>
    <t xml:space="preserve">i. Las áreas circundantes deben estar libres de malezas, basuras y desperdicios. </t>
  </si>
  <si>
    <t>C:</t>
  </si>
  <si>
    <t>CP:</t>
  </si>
  <si>
    <t>IT:</t>
  </si>
  <si>
    <t>Cumple con un requisito</t>
  </si>
  <si>
    <t xml:space="preserve">a) Ubicación adecuada </t>
  </si>
  <si>
    <t>i. El establecimiento no debe estar ubicado en zonas ambientalmente contaminadas y de actividades industriales que tengan una probabilidad razonable de contaminar los alimentos.</t>
  </si>
  <si>
    <t>ii. El establecimiento no está ubicado en zonas expuestas a inundaciones.</t>
  </si>
  <si>
    <t>iii. El establecimiento no está ubicado en zonas expuestas a infestaciones de plagas.</t>
  </si>
  <si>
    <t>iv. El esablecinmiento no debe estar ubicado en zonas de las que no puedan retirarse de manera eficaz los residuos sólidos y líquidos.</t>
  </si>
  <si>
    <t>Incumplimiento de dos o  más requisitos</t>
  </si>
  <si>
    <t xml:space="preserve">b) Alrededores limpios </t>
  </si>
  <si>
    <t>ii. Los equipos en desuso ubicados en el pátio deben estar identificados y almacenados adecuadamente.</t>
  </si>
  <si>
    <t>Incumplimiento de un requisito</t>
  </si>
  <si>
    <t xml:space="preserve">c) Ausencia de focos de contaminación </t>
  </si>
  <si>
    <t xml:space="preserve"> i. Sistema adecuado de tratamiento de desperdicios sólidos y líquidos.</t>
  </si>
  <si>
    <r>
      <t xml:space="preserve">a) El </t>
    </r>
    <r>
      <rPr>
        <b/>
        <sz val="14"/>
        <rFont val="Times New Roman"/>
        <family val="1"/>
      </rPr>
      <t>diseño</t>
    </r>
    <r>
      <rPr>
        <b/>
        <sz val="14"/>
        <color theme="1"/>
        <rFont val="Times New Roman"/>
        <family val="1"/>
      </rPr>
      <t xml:space="preserve">  del establecimiento permite la limpieza y el mantenimiento de manera adecuada.</t>
    </r>
  </si>
  <si>
    <t>b) La disposición de las áreas  evitan o reducen al mínimo la contaminación cruzada.</t>
  </si>
  <si>
    <t>i. Las áreas de almacenamiento de materiales, materias primas y productos terminados están físicamente separadas</t>
  </si>
  <si>
    <t>ii. Tamaño adecuado que permita las labores de producción, mantenimiento, limpieza y desinfección.</t>
  </si>
  <si>
    <t>ii. Pintura en buen estado sin desprendimiento de partículas.  y fáciles de limpiar.</t>
  </si>
  <si>
    <t>Producción anual</t>
  </si>
  <si>
    <t>Nacional</t>
  </si>
  <si>
    <t>Local</t>
  </si>
  <si>
    <t>Comercialización</t>
  </si>
  <si>
    <t>Interncional</t>
  </si>
  <si>
    <t>Todos los mercados</t>
  </si>
  <si>
    <t>Infantil</t>
  </si>
  <si>
    <t>Adultos</t>
  </si>
  <si>
    <t>Adultos mayores</t>
  </si>
  <si>
    <t>Mujeres embarazadas</t>
  </si>
  <si>
    <t>Todos los segmentos</t>
  </si>
  <si>
    <t>Niños menores</t>
  </si>
  <si>
    <t>Cumplimiento en todas las áreas</t>
  </si>
  <si>
    <t>i. Las ventanas estar provistas de malla contra insectos</t>
  </si>
  <si>
    <t xml:space="preserve">ii. Las mallas contra insectos son fáciles de desmontar y limpiar </t>
  </si>
  <si>
    <t xml:space="preserve">ii. Preferiblemente deben abrir hacia afuera. </t>
  </si>
  <si>
    <t>i. Diseño de la planta en función del producto a elaborar.</t>
  </si>
  <si>
    <t>ii. El flujo de las operaciones permite que el movimiento del personal y los materiales minimice la porisibilidad de la contaminación cruzada</t>
  </si>
  <si>
    <t>Las paredes deben tener una superficie lisa adecuada a las actividades que se realicen, construídas con materiales impermeables de fácil limpieza y, cuando sea necesario, de fácil desinfección.</t>
  </si>
  <si>
    <t>i. Las paredes son lisas hasta una altura adedcuada a las actividades que se realizan.</t>
  </si>
  <si>
    <t>iii. Están libres de grietas y orificios.</t>
  </si>
  <si>
    <t>Construidos con materiales impermeables de fácil limpieza sin grietas, uniones redondeadas con las paredes y que faciliten el drenaje.</t>
  </si>
  <si>
    <t>i. Construidos con materiales impermeables resistentes a los ácidos y álcalis y de fácil limpieza</t>
  </si>
  <si>
    <t>ii. Deben ser lisos, sin grietas y con uniones redondeadas con las paredes.</t>
  </si>
  <si>
    <t>iii. Con pendiete adecuada para facilitar el drenaje.</t>
  </si>
  <si>
    <t xml:space="preserve"> i. Deben estar construidos y acabados de forma que reduzcan al mínimo la acumulación de suciedad y de condensación.</t>
  </si>
  <si>
    <t>iii. Ausencia de elementos colgantes sobre el área de producción</t>
  </si>
  <si>
    <t>a) Fáciles de limpiar y construídas de modo que se reduzca al mínimo la acumulación de suciedad.</t>
  </si>
  <si>
    <t>b) Provistas de malla contra insectos fácil de desmontar y limpiar.</t>
  </si>
  <si>
    <t>i. Las ventanas son fáciles de limpiar</t>
  </si>
  <si>
    <t>ii. Ausencia de suciedad acumulada</t>
  </si>
  <si>
    <t>iii. Las ventasnas y sus marcos no presentan señales de deterioro</t>
  </si>
  <si>
    <t>b) Las ventanas sstán provistas de una malla contra insectos fácil de desmontar y limpiar.</t>
  </si>
  <si>
    <t>iii. Las mallas protectoras  no presentan señales de deterioro</t>
  </si>
  <si>
    <t>Tienen una superficie lisa y no absorbente, son fáciles de limpiar y, cuando sea necesario, de desinfectar.</t>
  </si>
  <si>
    <t>i. Tienen una superficie lisa no absorbente y son fáciles de limpiar</t>
  </si>
  <si>
    <t>ii. Las puertas deben estar ajustadas a sus marcos y no prsentar signos de deterioro</t>
  </si>
  <si>
    <t>ii. Son de materiales impermeables, se mantienen limpias, pintadas con colores claros y libres de desprendimeintos de pintura.</t>
  </si>
  <si>
    <t>1.1.3.6.  Superficies en contacto con los alimentos</t>
  </si>
  <si>
    <t>Deben estar construídos con materiales inertes, en buenas condiciones, ser duraderas y fáciles de limpiar, mantener y desinfectar.</t>
  </si>
  <si>
    <t xml:space="preserve">i. Están hechas de materiales lisos, no absorbentes e inertes a los alimentos, detergentes y desinfectantes. </t>
  </si>
  <si>
    <t>ii. Están en buenas condiciones, son duraderas y fáciles de limpiar, mantener y desinfectar.</t>
  </si>
  <si>
    <t>i. Está diseñados para manejar el volumen de agua requerido por las operaciones de la emprsa</t>
  </si>
  <si>
    <t>ii. Tienen sifones que evitan el reflujo y el retorno de malos olores.</t>
  </si>
  <si>
    <t>iii. El drenaje no fluye de zonas muy  contaminadas  a zonas en las que los alimentos terminados estén expuestos al ambiente.</t>
  </si>
  <si>
    <t>a) Sistema de drenaje</t>
  </si>
  <si>
    <t>a) El sistema de drenaje está diseñado y construído de manera que se evite la contaminación de los alimentos o del suministro de agua potable.</t>
  </si>
  <si>
    <t>b) Los residuos sólidos son recogidos y eliminados por personal calificado y deben ser depositados en contenedores debidamente identificados, construidos con material impermeable, ubicados en áreas que eviten la infestación por plagas y cuando corresponda, se podrán cerrar con llave para evitar la contaminación accidental o intencionada de los alimentos.</t>
  </si>
  <si>
    <t>b) Eliminación residuos sólidos</t>
  </si>
  <si>
    <t>i. Los residuos son recogidos y eliminados por personal capacitado y, cuando corresponda mantienen registros de su eliminación.</t>
  </si>
  <si>
    <t>ii. Los contenedores están debidamente identificados y ubicados lejos del área de producción para evitar la infestación con plagas.</t>
  </si>
  <si>
    <t>iii. Los contenedores están construidos con materiales impermeables y en caso de almacenar materiales perligrosos deben estar cerrados con llave.</t>
  </si>
  <si>
    <t>i. Las instalaciones disponen de un suministro suficiente de agua potable y cuando corresponda, de agua caliente.</t>
  </si>
  <si>
    <t>ii. Se dispone de estaciones separadas para el lavado y  desinfección de los alimentos, los equipos y utensilios y el lavado de manos.</t>
  </si>
  <si>
    <t xml:space="preserve">iii. Disponen de estaciones separadas para la limpieza de los equipos utilizados en la limpieza de los servicios sanitarios, los drenajes y contenedores de residuos sólidos. </t>
  </si>
  <si>
    <t>i. El filtro sanitario está equipado acorde con las operaciones de la planta.</t>
  </si>
  <si>
    <t>ii. Todos los equipos se mantienenen perfecto estado de funcionamiento.</t>
  </si>
  <si>
    <t>iii. Está equipado con jabón líquido, desinfectante y toallas desechables.</t>
  </si>
  <si>
    <t xml:space="preserve">iv. Tienen rótulos indicando la secuencia de pasos para utilizar el filtro sanitario y la forma correcta de lavarse las manos.  </t>
  </si>
  <si>
    <t>b) Servicios sanitarios separados por sexo, con suficientes lavamanos, inodoros, urinales y duchas.</t>
  </si>
  <si>
    <t>i, Los servvicios sanitarios es encuentran limpios, en buen estado y habilitados con papel higiénico y zafacones con tapa.</t>
  </si>
  <si>
    <t>c) Cuando sea necesario, vestidores con casilleros y espejos debidamente ubicados.</t>
  </si>
  <si>
    <t xml:space="preserve">i. Los vestidores se mantienen limpios. </t>
  </si>
  <si>
    <t xml:space="preserve">ii. Los casilleros se mantienen en buen estado.  </t>
  </si>
  <si>
    <t>iii. Los espejos y asientos se mantien en buen estado</t>
  </si>
  <si>
    <t>ii. Lavamanos con abastecimiento de agua accionados por pedales, rodillas, sensores, etc., con jabón líquido desinfectante, toallas de papel o secadores de aire y rótulos que indican como lavarse las manos adecuadamente.</t>
  </si>
  <si>
    <t>iii. Las puertas no abren directamente hacia el área de proceso.</t>
  </si>
  <si>
    <t>a) El establecimiento cuenta con instalaciones adecuadas para el calentamiento, enfriamiento, cocción, refrigeración o congelamiento y para el almacenamiento de alimentos refrigerados o congelados dependiendo de las operaciones que realiza,</t>
  </si>
  <si>
    <t>b) El establecimiento cuenta con la capacidad para controlar la temperatura ambiente de acuerdo a la naturaleza del prouducto, con el objeto de garantizar la inocuidad y la idoneidad de los alimentos.</t>
  </si>
  <si>
    <t>i. El equipo utilizado para cocer, calentar, enfriar, refrigerar, congelar o almacenar alimentos está diseñado de modo que el alimento alcance la temperatura requerida con la mayor rapidez posible y la mantene de manera eficaz.</t>
  </si>
  <si>
    <t>ii.  El establecimiento cuenta con un sistema adecuado para controlar el tiempo y la temperatura durante la cocción, el enfriamiento, la refrigeración, la congelación y el almacenamiento.</t>
  </si>
  <si>
    <t>iii. En el sistema se especifica con claridad los límites tolerables para las variaciones de tiempo y temperatura.</t>
  </si>
  <si>
    <t>iv. Los equipos utilizados para monitorear y controlar el tiempo y la temperatura son sometidos a procesos de mantenimiento y calibración de acuerdo a lo especificado por el fabricante.</t>
  </si>
  <si>
    <r>
      <t>v. El establecimiento mantiene los</t>
    </r>
    <r>
      <rPr>
        <sz val="12"/>
        <color rgb="FFFF0000"/>
        <rFont val="Times New Roman"/>
        <family val="1"/>
      </rPr>
      <t xml:space="preserve"> </t>
    </r>
    <r>
      <rPr>
        <sz val="12"/>
        <rFont val="Times New Roman"/>
        <family val="1"/>
      </rPr>
      <t>registros</t>
    </r>
    <r>
      <rPr>
        <sz val="12"/>
        <color theme="1"/>
        <rFont val="Times New Roman"/>
        <family val="1"/>
      </rPr>
      <t xml:space="preserve"> escritos del monitoreo y control del tiempo y temperatura y del mantenimiento y calibración de los equipos.</t>
    </r>
  </si>
  <si>
    <t>Incumplimiento con iv o v</t>
  </si>
  <si>
    <t>Incumplimiento con i, ii o iii</t>
  </si>
  <si>
    <t>Incumplimiento con iv y v</t>
  </si>
  <si>
    <t>b) El establecimiento cuenta con la capacidad para controlar la temperatura ambiente con el objeto de garantizar la inocuidad y la idoneidad de los alimentos.</t>
  </si>
  <si>
    <t>i. En el sistema se especifica con claridad los límites tolerables para las variaciones de tiempo y temperatura.</t>
  </si>
  <si>
    <t>ii, Cuenta con medios para monitorear, controlar y dar seguimiento a la temperatura y humedad.</t>
  </si>
  <si>
    <t xml:space="preserve">El establecimiento cuenta con medios adecuados de ventilación natural o mecánica, diseñados y construídos de manera que el aire no circule de zonas contaminadas a zonas limpias y que se facilite su mantenimiento y limpieza. </t>
  </si>
  <si>
    <t>i. El sistema de ventilación reduce al mínimo la contaminación de los alimentos transmitida por el aire.</t>
  </si>
  <si>
    <t>ii. El sistema de ventilación contribuye con el control de la temperatura ambiente.</t>
  </si>
  <si>
    <t>iii. El sistema de ventilación contribuye con el contro de los olores y la humedad para garantizar la inocuidad y la idoneidad de los alimentos.</t>
  </si>
  <si>
    <t>i. La iluminación debe ser suficiente para detectar defectos o contaminantes en los alimentos, o de examinar las instalaciones y el equipo para comprobar su limpieza.</t>
  </si>
  <si>
    <t>ii. La intensidad debe ser suficiente para la naturaleza de la actividad que se realice.</t>
  </si>
  <si>
    <t>iii, Cuando corresponda, las luminarias  están protegidas, , para garantizar que los alimentos no se contaminen en caso de rotura de los elementos de iluminación.</t>
  </si>
  <si>
    <t>El establecimieno cuenta con instalaciones separadas y adecuadas para el almacenamiento de los productos terminados, materias primas, material de empaque, productos de limpieza, lubricantes y combustibles.</t>
  </si>
  <si>
    <t>i. Las instalaciones de almacenamiento faciliten un mantenimiento y una limpieza adecuados.</t>
  </si>
  <si>
    <t>ii. Las instalaciones de almacenamiento eviten el acceso y el anidamiento de plagas.</t>
  </si>
  <si>
    <t xml:space="preserve">iii. Las instalaciones de almacenamiento permiten que los alimentos estén protegidos eficazmente de la contaminación, incluido el contacto cruzado con alérgenos. </t>
  </si>
  <si>
    <t>iv.  Las instalaciones de almacenamiento cuentan con medios para el control de la temperatura y humedad, cuando aplique.</t>
  </si>
  <si>
    <t>Incumplimiento con i o iii</t>
  </si>
  <si>
    <t>Incumplimiento con ii o iv</t>
  </si>
  <si>
    <t>El equipo y los recipientes que estan en contacto con los alimentos deben ser aptos para el contacto con los alimentos, estar diseñados, fabricados y ubicados de manera que se puedan limpiar, desinfectar y mantener adecuadamente para evitar la contaminación de los alimentos.</t>
  </si>
  <si>
    <t>i. El equipo y los recipientes están fabricados con materiales que no sean potencialmente tóxicos para el uso al que se destinan.</t>
  </si>
  <si>
    <t xml:space="preserve">ii. Están diseñados, fabricados y ubicados de manera que se puedan limpiar y desinfectar adecuadamente. </t>
  </si>
  <si>
    <t>iii. Están instalados de manera que se facilite su mantenimiento.</t>
  </si>
  <si>
    <t>Incumplimiento con iii</t>
  </si>
  <si>
    <t>Incumplimiento con i o ii</t>
  </si>
  <si>
    <t>El personal debe tener conocimiento de su función y responsabilidad en cuanto a la protección de los alimentos contra la contaminación o el deterioro.</t>
  </si>
  <si>
    <t>i. El personal cuenta con los conocimientos y capacidades necesarios para poder manipular los alimentos en condiciones higiénicas.</t>
  </si>
  <si>
    <t>ii. El personal que manipula alimentos  ha sido capacitado en el uso adecuado  productos químicos de limpieza u otras sustancias químicas potencialmente peligrosas para evitar la contaminación de los alimentos.
OBJETIVO:
Todas las personas que realizan actividades relacionadas con los alimentos, que vayan a tener contacto directo o indirecto con ellos, deberían tener una comprensión suficiente de la higiene de los alimentos y garantizar que poseen una competencia adecuada a las actividades que vayan a realizar.
JUSTIFICACIÓN:
La capacitación es de importancia fundamental para cualquier sistema de higiene de los alimentos y para la competencia del personal.
Una capacitación o instrucción y una supervisión adecuadas en materia de higiene de todas las personas que intervienen en operaciones relacionadas con los alimentos contribuyen a asegurar la inocuidad de los alimentos y su idoneidad para el consumo.</t>
  </si>
  <si>
    <t>ii. Se garantiza que los procedimientos se  realizan de forma adecuada por medio de supervisiones y verificaciones rutinarias.</t>
  </si>
  <si>
    <t>iii.  El personal encargado del control de los alimentos está capacitado adecuadamente para las runciones que realiza</t>
  </si>
  <si>
    <t>i.Se realizan evaluaciones periódicas de la eficacia de los programas de capacitación e instrucción.</t>
  </si>
  <si>
    <t>Los encargados, supervisores y los operarios cuentan con los conocimientos suficientes sobre los principios y prácticas de higiene de los alimentos para poder identificar las desviaciones y adoptar las medidas necesarias que correspondan a su puesto.</t>
  </si>
  <si>
    <t>Se  utilizan equipos y utensilios de limpieza adecuadamente diseñados para las diferentes áreas, se conservan limpios, reciben mantenimiento y se sustituyen periódicamente a fin de que no se conviertan en una fuente de contaminación para las superficies o los alimentos.</t>
  </si>
  <si>
    <t>i. En las zonas de preparación y almacenamiento de alimentos se utilizan productos de limpieza especializados para superficies que entran en contacto con los alimentos.</t>
  </si>
  <si>
    <t>ii. Los productos químicos para la limpieza y desinfección se  manejan y utilizan según las instrucciones de los fabricantes</t>
  </si>
  <si>
    <t>iii. El equipo de limpieza se almacena en un lugar adecuado y de modo tal que se evite la contaminación.</t>
  </si>
  <si>
    <t>Incumplimiento con ii y iii</t>
  </si>
  <si>
    <t xml:space="preserve">Los procedimientos de limpieza y desinfección garantizan que todas las partes del establecimiento están adecuadamente limpias y cuando corresponda desinfectadas. </t>
  </si>
  <si>
    <r>
      <t xml:space="preserve">i. El establecimiento cuenta con procedimientos escritos de limpieza y desinfección </t>
    </r>
    <r>
      <rPr>
        <sz val="12"/>
        <rFont val="Times New Roman"/>
        <family val="1"/>
      </rPr>
      <t>(POES)</t>
    </r>
  </si>
  <si>
    <t>iii. La concentración y el tiempo de aplicación de los productos químicos utilizados para la desinfección se emplean según las instrucciones del fabricante.</t>
  </si>
  <si>
    <t>Incumplimiento con ii o iii</t>
  </si>
  <si>
    <t>Incumplimiento con i</t>
  </si>
  <si>
    <t>Se realiza el seguimiento de la eficacia de la aplicación de los procedimientos de limpieza y desinfección y se verifica que se han aplicado adecuadamente.</t>
  </si>
  <si>
    <t xml:space="preserve">i. Se toman medidas para tomar muestras y hacer pruebas del medio ambiente y de las superficies que entran en contacto con los alimentos. </t>
  </si>
  <si>
    <t>iii. Los procedimientos de limpieza y desinfección y de mantenimiento se revisan periódicamente, se adaptan para reflejar cualquier cambio de circunstancias y se documentan como corresponda.</t>
  </si>
  <si>
    <t xml:space="preserve">ii. En los casos que no proceda tomar muestras para realizar análisis microbiológicos, se monitorean los procedimientos de limpieza y desinfección, incluida la concentración correcta de desinfectante para asegurarse que se siguen los protocolos de forma adecuada. </t>
  </si>
  <si>
    <t>Incumplimiento con dos requisitos</t>
  </si>
  <si>
    <t>El establecimiento cuenta con un Programa escrito para el control de plagas y con las barreras físicas necesarias para impedir que penetren a la planta.</t>
  </si>
  <si>
    <t>i. El establecimiento y las áreas circundantes se inspeccionan de forma regular para detectar indicios de infestación.</t>
  </si>
  <si>
    <t>ii. El programa contempla medidas de erradicación en caso de alguna invasión de plaga.</t>
  </si>
  <si>
    <t>iii. Los productos químidos utilizados son autorizados y no suponen una amenaza para la inocuidad o la idoneidad de los alimentos.</t>
  </si>
  <si>
    <t>La empresa tiene establecidas políticas y procedimientos adecuados  en materia de higiene personal.</t>
  </si>
  <si>
    <t>ii. El personal mantiene un alto nivel de aseo personal y, cuando corresponda, utiliza ropa protectora, cubre cabezas, cubre barba, mascarilla y calzado adecuado.</t>
  </si>
  <si>
    <t>iii. Se aplican medidas para evitar la contaminación cruzada por parte del personal, a través de un correcto lavado de manos y, cuando procedaa, mediante el uso de guantes,</t>
  </si>
  <si>
    <t>vi. El personal que visita el área de producción al igual que el personal de mantenimiento, debe llevar ropa protectora y cumplir con todos los requisitos exigidos a los manipuladores de alimentos..</t>
  </si>
  <si>
    <t>Incumplimiento con iv, v o vi</t>
  </si>
  <si>
    <t xml:space="preserve">El establecimiento describe sus productos de manera individual o por grupo de alimentos de manera adecuada. </t>
  </si>
  <si>
    <t>i. Se especifica el uso previsto del alimento</t>
  </si>
  <si>
    <t>ii. Se especifica si los productos están destinados a grupos de consumidores vulnerables.</t>
  </si>
  <si>
    <t xml:space="preserve">iii. Se especifica la composición de los ingredientes, Aw, pH y método de conservación. </t>
  </si>
  <si>
    <t>iv. Se espesifica la presencia de alérgenos</t>
  </si>
  <si>
    <t>v. Se especifica cualquier límite pertinente establecido para el alimento por la autoridad competente o, en ausencia de esta, por la gerencia del establecimiento.</t>
  </si>
  <si>
    <t>vi. Se describen las instrucciones para su uso ulterior</t>
  </si>
  <si>
    <t>vii, Se especifican las condiciones necesarias de almacenamiento</t>
  </si>
  <si>
    <t xml:space="preserve">viii. Se especifican los materiales de envasado utilizados para los alimentos </t>
  </si>
  <si>
    <t>Incumplimiento de un requisito excepto el iv</t>
  </si>
  <si>
    <t>Incumplimiento con ii y v</t>
  </si>
  <si>
    <t>Incumplimiento con iv</t>
  </si>
  <si>
    <r>
      <t xml:space="preserve">El establecimiento tiene elaborado los </t>
    </r>
    <r>
      <rPr>
        <sz val="12"/>
        <rFont val="Times New Roman"/>
        <family val="1"/>
      </rPr>
      <t>diagramas</t>
    </r>
    <r>
      <rPr>
        <sz val="12"/>
        <color rgb="FFFF0000"/>
        <rFont val="Times New Roman"/>
        <family val="1"/>
      </rPr>
      <t xml:space="preserve"> </t>
    </r>
    <r>
      <rPr>
        <sz val="12"/>
        <rFont val="Times New Roman"/>
        <family val="1"/>
      </rPr>
      <t xml:space="preserve"> </t>
    </r>
    <r>
      <rPr>
        <sz val="12"/>
        <color theme="1"/>
        <rFont val="Times New Roman"/>
        <family val="1"/>
      </rPr>
      <t>de flujo de los productos y líneas de productos actualizados.</t>
    </r>
  </si>
  <si>
    <t>i. Los diagramas de flujo contienen todas las fases de las actividades relativas a cada uno de los producto o línea de productos.</t>
  </si>
  <si>
    <t>ii. Los diagramas de flujo muestran la secuencia y la interacción de todas las fases de la operación, incluidos los momentos en que las materias primas, ingredientes y productos intermedios se incorporan al flujo y cuándo se liberan y retiran los productos intermedios, subproductos y residuos.</t>
  </si>
  <si>
    <t>5.1.2. Descripción fases del proceso</t>
  </si>
  <si>
    <t xml:space="preserve">iii. Los parámetros de control de las fases claves de producción de alimentos que contribuyen a la inocuidad tales como cocción, enfriado, congelado son monitoreados y sujetos a seguimiento.                                                                                                 </t>
  </si>
  <si>
    <t>5.1.3. Monitoreo/seguimiento, medidas correctivas y verificación</t>
  </si>
  <si>
    <t>El establecimiento cuenta con procedimintos escritos sobre el monitoreo de las prácticas de higiene y realiza actividades de verificación de su efectividad.</t>
  </si>
  <si>
    <t>i. Cuando se detectan no conformimades se toman las medidas correctivas de lugar.</t>
  </si>
  <si>
    <t>ii. El establecimiento realiza actividades de verificación de la efectividad y buena aplicación de los POE y los POES.</t>
  </si>
  <si>
    <t>5.2.1. Especificaciones microbiológicas, físicas, químicas y de alérgenos</t>
  </si>
  <si>
    <t>Las especificaciones microbiológicas, físicas, químicas y de alérgenos del producto están definidas en base a las normas oficiales y contribuyen a la inocuidad del producto.</t>
  </si>
  <si>
    <t xml:space="preserve">i. Las especificaciones establecen los parámetros de muestreo, los métodos analíticos, los límites aceptables, y los procedimientos de monitoreo y seguimiento.  </t>
  </si>
  <si>
    <t>ii.  Los alimentos crudos, que no se consideran listos para consumo, estan separados de los alimentos listos para el consumo.</t>
  </si>
  <si>
    <t>iii. Las áreas de elaboración donde existe un mayor riesgo de contaminación del alimento están debidamente indentificadas para restringir el acceso a las mismas</t>
  </si>
  <si>
    <t xml:space="preserve">iv. El establecimiento tiene implementado un sistema para impedir la contaminación fisica de los alimentos (tales como detectores de metales o detectores de rayos X). </t>
  </si>
  <si>
    <t>vi. Se llevan controles sobre los aditivos alimentarios y los coadyuvantes de elaboración cuyo uso inadecuado pudiera resultar perjudicial, a fin de que se utilicen únicamente de la manera prevista.</t>
  </si>
  <si>
    <t xml:space="preserve">vii. El establecimiento tiene identificados los alimentos que tienen carácter de alérgenos y dicha información está expresada claramente en las etiquetas de los mismos, para conocimiento de los consumidores. </t>
  </si>
  <si>
    <t xml:space="preserve">viii. El establecimiento  tiene implementado controles para prevenir la contaminación cruzada entre alimentos que contienen alérgenos y otros alimentos que no lo contienen.   </t>
  </si>
  <si>
    <t xml:space="preserve">ix. Cuando existe riesgo de que los alimentos que no contienen alérgenos pueden contener trazas de los mismos, se declara en la etiqueta para el conocimiento de los consumidores.   </t>
  </si>
  <si>
    <t>Incumplimiento con i, ii, iii, v o vi</t>
  </si>
  <si>
    <t>Incumplimiento con ii y iii, o ii y v, o ii y vi</t>
  </si>
  <si>
    <t>Incumplimiento con iii y v, o iii y vi</t>
  </si>
  <si>
    <t>Incumplimiento con v y vi</t>
  </si>
  <si>
    <t>Incumplimiento con iv, vii, viii o ix</t>
  </si>
  <si>
    <t>5.2.2. Materiales y materias primas</t>
  </si>
  <si>
    <t>i. Se realizan inspecciones visuales de las materias primas (deterioro, fecha de vencimiento, alérgenos declarados, etc) , o se hacen mediciones de temperatura (para productos refrigerados o cangelados), para tomas las medidas adecuadas antes de la elaboración</t>
  </si>
  <si>
    <t>ii. Cuando corresponda, se realizan pruebas de laboratorio para comprobar la inocuidad e idoneidad de las materias primas o ingredientes.</t>
  </si>
  <si>
    <t xml:space="preserve">iii. Existe documentación y registro sobre las informaciones relevantes de los certificados de análisis, información del proveedor, fecha de recepción, cantidades,  etc.  </t>
  </si>
  <si>
    <t xml:space="preserve">El establecimiento mantiene un sistema de control para asegurar que las materias primas y otros ingredientes a ser utilizados en la elaboración de alimentos son conformes con las especificaciones de calidad e inocuidad establecidas en las espcificaciones. </t>
  </si>
  <si>
    <t>5.2.3. Envasado</t>
  </si>
  <si>
    <t>i. El diseño y el material del envasado permite el etiquetado adecuando del alimento.</t>
  </si>
  <si>
    <t xml:space="preserve">ii. Cuando se utilicen gases para el envasado, se cuenta con la evidencia documental sobre la inocuidad de dichos materiales. </t>
  </si>
  <si>
    <t xml:space="preserve">El diseño y los materiales utilizados para envasar los alimentos son inocuos y adecuados para proteger el producto contra la contaminación. </t>
  </si>
  <si>
    <t>i. El establecimiento mantiene el control y registro de la potabilidad del agua.</t>
  </si>
  <si>
    <t>El establecimiento cuenta con suficiente abastecimiento de agua potable y con instalaciones apropiadas para su almacenamiento y distribución.</t>
  </si>
  <si>
    <t>ii. El agua y hielo utilizados para la elaboradión de los alimentos son potables.</t>
  </si>
  <si>
    <t>iii. El agua y el hielo se almacenan y manipulan de manera que no se contaminen.</t>
  </si>
  <si>
    <t>iv. La generación de vapor que entra en contacto con los alimentos no da lugar a su contaminación.</t>
  </si>
  <si>
    <t>v. El agua que no es apta para el uso en contacto con los alimentos tiene un sistema separado que no contamina el sistema de agua potable.</t>
  </si>
  <si>
    <t>vi. El agua recirculada para su reutilización y el agua recuperada de las operaciones de elaboración de alimentos por evaporación o por filtración, se trata para asegurar que  no comprometa la inocuidad e idoneidad de los alimentos.</t>
  </si>
  <si>
    <t>Incumplimiento con v o vi</t>
  </si>
  <si>
    <t xml:space="preserve">Incumplimiento con i, ii, iii o iv </t>
  </si>
  <si>
    <t>iii. El establecimiento mantiene registros escritos sobre los hallazgos durante el monitoreo, sobre las medidas correctivas aplicadas y de las actividades de verificación durante un período superior a la vida útil del producto o durante el tiempo que establezca la autoridad competente.</t>
  </si>
  <si>
    <t>5.4. Procedimientos de retiro del mercado</t>
  </si>
  <si>
    <t>i. Los procedimientos permiten la rápida y eficaz identificación y el retiro completo del mercado de cualquier alimento que pueda suponer un riesgo para la salud pública.</t>
  </si>
  <si>
    <t>ii. Los procedimientos permiten la devolución por parte de los consumidores de cualquier alimento que pueda suponer un riesgo para la salud pública.</t>
  </si>
  <si>
    <t>iii. Los procedimientos contemplan evaluar los demás lotes de productos elaborados en condiciones similares a los  que se han retirado del mercado para determinar si son inocuos y seguros.</t>
  </si>
  <si>
    <t>iv. Los procedimientos permiten informar a la autoridad competente y emitir alertas públicas cuando el producto pueda haber llegado a los consumidores y sea necesario su devolución o retiro del mercado.</t>
  </si>
  <si>
    <t xml:space="preserve">Incumplimiento con i y iv </t>
  </si>
  <si>
    <t>a) El establecimiento cuenta con los procedimientos adecuados de retiro de alimentos del mercado.</t>
  </si>
  <si>
    <t xml:space="preserve">b) Los productos devueltos o retirados del mercado  se mantienen en condiciones seguras de almacenamiento según lo estipulado en los procedimeintos. </t>
  </si>
  <si>
    <t xml:space="preserve">i. Se almacenan hasta que se destruyan </t>
  </si>
  <si>
    <t xml:space="preserve">iii. Se mantienen almacenados hasta que se determine su inocuidad para el consumo humano </t>
  </si>
  <si>
    <t>ii. Se mantienen almacenados hasta que se utilicen con fines distintos del consumo humano</t>
  </si>
  <si>
    <t>iv. Se mantienen almacenados hasta que se reelaboren de manera que se reduzca el peligro a niveles aceptables y la autoridad competente lo permita</t>
  </si>
  <si>
    <t xml:space="preserve">v. Los procedimientos para retirar alimentos del mercado se revisan y actualizan cuando sea necesario, a partir de los resultados de simulacros periódicos. </t>
  </si>
  <si>
    <t>vi. El establecimiento conserva la documentación escrita con la información de la causa y el alcance de un retiro del mercado y las medidas correctivas adoptadas.</t>
  </si>
  <si>
    <t xml:space="preserve">6.1. Etiquetado de los productos </t>
  </si>
  <si>
    <t>6.1. Etiquetado de los productos</t>
  </si>
  <si>
    <t>i. Las etiquetas muestran el Nombre de los productos</t>
  </si>
  <si>
    <t>ii. Las etiquetas muestran la lista de Ingredientes</t>
  </si>
  <si>
    <t>iii. Las etiquetas muestran el contenido neto y peso escurrido</t>
  </si>
  <si>
    <t>iv. Las etiquetas muestran el nombre y dirección del fabricante</t>
  </si>
  <si>
    <t>v Las etiquetas muestran el Registros Sanitario</t>
  </si>
  <si>
    <t>vi. Las etiquetas muestran el país de origen</t>
  </si>
  <si>
    <t>vii. Las etiquetas muestran la identificación del lote</t>
  </si>
  <si>
    <t>viii. Las etiquetas muestran la fecha de vencimiento</t>
  </si>
  <si>
    <t>ix. Las etiquetas muestran las instrucciones para la conservación</t>
  </si>
  <si>
    <t>x. Las etiquetas muestran las instrucciones para el uso</t>
  </si>
  <si>
    <t>xi. Las etiquetas muestran la declaración de alérgenos</t>
  </si>
  <si>
    <t>Incumplimiento de un requisito, excepto ii o xi</t>
  </si>
  <si>
    <t>Incumplimiento con v y vii, v y ix o v y x</t>
  </si>
  <si>
    <t>Incumplimiento con vii y ix o vii y x</t>
  </si>
  <si>
    <t>Incumplimiento con ix y x</t>
  </si>
  <si>
    <t>Incumplimiento con ii o xi</t>
  </si>
  <si>
    <t xml:space="preserve">Los medios de transporte son adecuados a la  naturaleza de los productos que  transportan y permiten, cuando procede, el control de temperatura, el grado de humedad, el aire y otras condiciones necesarias para proteger los alimentos contra la proliferación de microorganismos nocicos y el deterioro. </t>
  </si>
  <si>
    <t xml:space="preserve">i. Los medios de transporte están diseñados de tal manera que permiten una separación eficaz entre los distintos alimentos y/o entre otros alimentos y los articulos no alimentarios que podrian causar contaminación.  </t>
  </si>
  <si>
    <t>ii. Ofrecen  una protección eficaz contra la contaminación, incluidos el polvo y el humo.</t>
  </si>
  <si>
    <t xml:space="preserve">iii. Los medios de transporte se mantienen en un estado adecuado de limpieza, reparación y mantenimiento. </t>
  </si>
  <si>
    <t xml:space="preserve">iv. Cuando el medio de transporte se utiliza para transportar diferentes tipos de alimentos o productos no alimentarios, están definidos los controles de limpieza, desinfección y secado entre cada carga. </t>
  </si>
  <si>
    <t>vi. Se mantienen los registros de las actividades de limpieza y desinfección de los medios de tranporte.</t>
  </si>
  <si>
    <t>vii. El personal que realiza el transporte está capacitado en la adecuada manipulación de los alimentos que transporta y en las medidas precautorias para asegurar su inocuidad.</t>
  </si>
  <si>
    <t>El establecimiento cuenta con un programa escrito de capacitación, principalmente en higiene y manipulación de alimentos, BPM e higiene personal.</t>
  </si>
  <si>
    <t>i. El programa contempla la naturaleza de los peligros asociados con los alimentos, por ejemplo, su capacidad para favorecer la proliferación de microorganismos patógenos o que causen deterioro, la existencia de posibles contaminantes físicos o alérgenos conocidos.</t>
  </si>
  <si>
    <t xml:space="preserve">ii. La manera en que se elaboran, manipulan, envasan y almacenan los alimentos, incluida la probabilidad de contaminación. </t>
  </si>
  <si>
    <t>iii. El tiempo que se prevé que transcurra antes del consumo del alimento.</t>
  </si>
  <si>
    <t>iv. El uso y el mantenimiento de los utensilios y el equipo relacionados con los alimentos.</t>
  </si>
  <si>
    <t xml:space="preserve">v. El programa de capacitación se revisa rutinariamente y se actualiza cuando sea necesario. </t>
  </si>
  <si>
    <t>Número de NC Críticas</t>
  </si>
  <si>
    <t>Número de NC Mayores</t>
  </si>
  <si>
    <t>SI</t>
  </si>
  <si>
    <t xml:space="preserve">a) Se dispone de iluminación natural o artificial adecuada que permita a la empresa realizar las actividades alimentarias de manera higiénica. </t>
  </si>
  <si>
    <t>Detener producción corregir no conformidades</t>
  </si>
  <si>
    <t>Corregir no conformidades</t>
  </si>
  <si>
    <t>&gt; 81%: Otorgar Certificación BPM</t>
  </si>
  <si>
    <t>&gt; 81%: Renovar Permiso Sanitario</t>
  </si>
  <si>
    <t>DPS/DAS</t>
  </si>
  <si>
    <t>Área I de Salud</t>
  </si>
  <si>
    <t>Área II de Salud</t>
  </si>
  <si>
    <t>Área III de Salud</t>
  </si>
  <si>
    <t>Área IV de Salud</t>
  </si>
  <si>
    <t>Área V de Salud</t>
  </si>
  <si>
    <t>Área VI de Salud</t>
  </si>
  <si>
    <t>Área VII de Salud</t>
  </si>
  <si>
    <t>Área VIII de Salud</t>
  </si>
  <si>
    <t>Azua</t>
  </si>
  <si>
    <t>Bahoruco</t>
  </si>
  <si>
    <t>Barahona</t>
  </si>
  <si>
    <t>Dajabón</t>
  </si>
  <si>
    <t>Duarte</t>
  </si>
  <si>
    <t>El Seibo</t>
  </si>
  <si>
    <t>Elías Piña</t>
  </si>
  <si>
    <t>Espaillat</t>
  </si>
  <si>
    <t>Hato Mayor</t>
  </si>
  <si>
    <t xml:space="preserve">Hermanas Mirabal </t>
  </si>
  <si>
    <t>Independencia</t>
  </si>
  <si>
    <t>La Altagracia</t>
  </si>
  <si>
    <t>La Romana</t>
  </si>
  <si>
    <t>La Vega</t>
  </si>
  <si>
    <t>Mao, Valverde</t>
  </si>
  <si>
    <t>María Trinidad Sánchez</t>
  </si>
  <si>
    <t>Monseñor Nouel</t>
  </si>
  <si>
    <t>Monte Plata</t>
  </si>
  <si>
    <t>Montecristi</t>
  </si>
  <si>
    <t>Pedernales</t>
  </si>
  <si>
    <t>Peravia</t>
  </si>
  <si>
    <t>Puerto Plata</t>
  </si>
  <si>
    <t>Samaná</t>
  </si>
  <si>
    <t>San Cristóbal</t>
  </si>
  <si>
    <t>San José Ocoa</t>
  </si>
  <si>
    <t>San Juan de la Maguana</t>
  </si>
  <si>
    <t>San Pédro de Macorís</t>
  </si>
  <si>
    <t>Sánchez Ramírez</t>
  </si>
  <si>
    <t>Santiago I</t>
  </si>
  <si>
    <t>Santiago II</t>
  </si>
  <si>
    <t>Santiago III</t>
  </si>
  <si>
    <t>Santiago Rodríguez</t>
  </si>
  <si>
    <t>Puntuación final</t>
  </si>
  <si>
    <t>No aprobada</t>
  </si>
  <si>
    <t>Aprobada</t>
  </si>
  <si>
    <t>Me</t>
  </si>
  <si>
    <t>Ing. Pedro L. de Padua              Lic. Fernando Disla</t>
  </si>
  <si>
    <t>ORIENTACIONES PARA EL LLENADO DE LA FICHA TÉCNICA DE BPM</t>
  </si>
  <si>
    <t>Definiciones de No Conformidades:</t>
  </si>
  <si>
    <t>NC Crítica:</t>
  </si>
  <si>
    <t>Es un incumplimiento a los requisitos que afecta directamente la inocuidad de los alimentos, implica una medida correctiva inmediata.</t>
  </si>
  <si>
    <t>NC Mayor:</t>
  </si>
  <si>
    <t>Es un incumplimiento a los requisitos que afecta potencialmente la inocuidad de los alimentos, implica una medida correctiva a corto plazo.</t>
  </si>
  <si>
    <t>NC Menor:</t>
  </si>
  <si>
    <t>Es un incumplimiento a los requisitos que no pone en riesgo la inocuidad de los alimentos.</t>
  </si>
  <si>
    <t>PRINCIPALES MOTIVOS PARA LAs INSPECCIONES</t>
  </si>
  <si>
    <t>CRITERIOS PÁRA LAS INSPECCIONES Y CALIFICACIÓN</t>
  </si>
  <si>
    <t>Cuando el motivo de la inspección sea por solicitud o renovación del Permiso Sanitario y certificación de BPM, se corre la ficha completa y se aprueba si la puntuación final es mayor o igual a  81% y no presentan una no conformidad crítica o tres mayores.</t>
  </si>
  <si>
    <t xml:space="preserve">Si la inspección es programada y el establecimiento tiene el Permiso Sanitario, se puede correr la ficha a partir del punto 1.1.3,  poniendo mayor atención en los aspectos críticos. La calificación se hará de acuerdo a los resultados obtenidos. </t>
  </si>
  <si>
    <t xml:space="preserve">Si la ispección es por seguimientgo o conntrol, solo se tomarán en cuenta las no conformidades detectadas en la inspección anterior. Se calificará de acuerdo a los resultrados obtenidos. </t>
  </si>
  <si>
    <t xml:space="preserve">Si la inspección es por denuncia el inspector podrá correr la ficha completa a su discreción, deberá poner atención en los apectos de la denuncia. Se calificará de acuero a los reusltados obtenidos. </t>
  </si>
  <si>
    <t>Si la puntución final obtenida es menor del 81%, se procede a notificar las no conformidades detectadas y se establece las fechas para corregirlas.</t>
  </si>
  <si>
    <t>Si la puntución final obtenida es menor o igual al 60%, se considera la posibilidad de cerrar el establecimiento.</t>
  </si>
  <si>
    <t>Si se detecta una no conformidad crítica, se recomienda parar la producción hasta corregirla.</t>
  </si>
  <si>
    <t>C :</t>
  </si>
  <si>
    <t>No Conformidad Crítica</t>
  </si>
  <si>
    <t>M:</t>
  </si>
  <si>
    <t>No Conformidad Mayor</t>
  </si>
  <si>
    <r>
      <t xml:space="preserve">Me: </t>
    </r>
    <r>
      <rPr>
        <b/>
        <sz val="14"/>
        <rFont val="Times New Roman"/>
        <family val="1"/>
      </rPr>
      <t>No Conformidad Menor</t>
    </r>
  </si>
  <si>
    <t>Esta ficha técnica está basada en los Principios Generales de Higiene de los Alimentos del Codex Alimentarius (CXC 1-1969)</t>
  </si>
  <si>
    <t>Nombre del propietario</t>
  </si>
  <si>
    <t>Categoría de Alimento</t>
  </si>
  <si>
    <t>Nombre del representante</t>
  </si>
  <si>
    <t>Cédula de identidad</t>
  </si>
  <si>
    <t>Productos elaborados</t>
  </si>
  <si>
    <t>ii. Los procedimientos de limpieza no provocan la contaminación de los alimentos,</t>
  </si>
  <si>
    <t>i. Al personal que presente síntomas o que  se sabe o sospeche que padece o es portador de alguna enfermedad que probablemente se transmita por medio de los alimentos no se le permite ingresar a ninguna área de manipulación de alimentos.</t>
  </si>
  <si>
    <t>iv. El persobnal que manipula alimentos debe evitar conductas que puedan contaminar los alimentos tales como:, fumar, vapear, escupir, comer, beber, estornudar, tocer, tocarse la boca o la nariz, etc.</t>
  </si>
  <si>
    <t xml:space="preserve">v. El personal que manipula alimentos no debe portar joyas, relojes, prendedores, cadenas, etc., al igual que pestañas y uñas postizas. </t>
  </si>
  <si>
    <t>v. Los productos de limpieza y desinfección al igual que los plaguicidas se  identifican, almacenan y se utilizan de forma segura a fin de evitar la contaminación de los alimentos, las superficies de contacto  y los materiales de envasado de alimentos.</t>
  </si>
  <si>
    <t>iii. El material de envasado reutilizable tiene una duración adecuada, es fácil de limpiar y, en caso necesario, de desinfectar.</t>
  </si>
  <si>
    <t xml:space="preserve">v. Las operaciones de carga y descarga deben realizarse fuera de las áreas de producción. </t>
  </si>
  <si>
    <t>Dr. Fernando Sampedro</t>
  </si>
  <si>
    <t xml:space="preserve"> </t>
  </si>
  <si>
    <t>¿Tienen implementado el sistema HACCP?</t>
  </si>
  <si>
    <t>Nivel de implementación</t>
  </si>
  <si>
    <t>¿Tienen un plan de muestreo microbiológico?</t>
  </si>
  <si>
    <t>¿Son suplidores del INABIE?</t>
  </si>
  <si>
    <t>¿Cómo lo distribuyen?</t>
  </si>
  <si>
    <t>En el 75% de las líneas de producción</t>
  </si>
  <si>
    <t>En todas las líneas de producción</t>
  </si>
  <si>
    <t>En el 25% de las líneas de producción</t>
  </si>
  <si>
    <t>Solo para las materias primas</t>
  </si>
  <si>
    <t>Solo para las áreas de proceso y productos terminados</t>
  </si>
  <si>
    <t xml:space="preserve">Para las materias primas, las áreas de proceso y productos terminados </t>
  </si>
  <si>
    <t>A  nivel nacional</t>
  </si>
  <si>
    <t xml:space="preserve">A nivel regional </t>
  </si>
  <si>
    <t xml:space="preserve">A nivel local </t>
  </si>
  <si>
    <t>Si el establecimiento es suplidor del INABIE, colocar el nivel de distribución de los alimentos: Local, regional, nacional</t>
  </si>
  <si>
    <t>Para la implementación del sistema  HACCP, si la respuesta es positiva, colocar el nivel de implementación: 25%, 75% o 100%</t>
  </si>
  <si>
    <t xml:space="preserve">Si tienen un plan de muestreo microbilógico, indicar en qué áreas lo aplican: Materias primas, proceso y producción, todas las áreas </t>
  </si>
  <si>
    <t>¿Donde lo aplican?</t>
  </si>
  <si>
    <t xml:space="preserve">La planta cuenta con estaciones separadas para el lavado y desinfección de alimentos, equipos, utensilios y manos, al igual que para el lavado de los equipos utilizados en la limpieza de los servicios sanitarios, los drenajes y contenedores, todas dotadas con suficiente agua potable.  </t>
  </si>
  <si>
    <r>
      <t xml:space="preserve">Los productos eleborados cumplen a cabalidad con la </t>
    </r>
    <r>
      <rPr>
        <sz val="12"/>
        <rFont val="Times New Roman"/>
        <family val="1"/>
      </rPr>
      <t>NORDOM</t>
    </r>
    <r>
      <rPr>
        <sz val="12"/>
        <color theme="1"/>
        <rFont val="Times New Roman"/>
        <family val="1"/>
      </rPr>
      <t xml:space="preserve"> 53, Etiquetado general de los productos previamente envasados (pre-envasados) </t>
    </r>
  </si>
  <si>
    <r>
      <rPr>
        <b/>
        <sz val="12"/>
        <color theme="1"/>
        <rFont val="Calibri"/>
        <family val="2"/>
      </rPr>
      <t>≤</t>
    </r>
    <r>
      <rPr>
        <b/>
        <sz val="12"/>
        <color theme="1"/>
        <rFont val="Times New Roman"/>
        <family val="1"/>
      </rPr>
      <t xml:space="preserve"> 60% </t>
    </r>
  </si>
  <si>
    <t xml:space="preserve"> &gt; 60% - 70%</t>
  </si>
  <si>
    <t>&gt; 70% - 80%</t>
  </si>
  <si>
    <t xml:space="preserve">&gt; 80% </t>
  </si>
  <si>
    <r>
      <rPr>
        <b/>
        <sz val="14"/>
        <rFont val="Times New Roman"/>
        <family val="1"/>
      </rPr>
      <t>Para el caso de productos láteos:</t>
    </r>
    <r>
      <rPr>
        <sz val="12"/>
        <rFont val="Times New Roman"/>
        <family val="1"/>
      </rPr>
      <t xml:space="preserve"> 
a) Se entiende por producción anual la cantidad de litros de leche que procesan en el año. 
b) </t>
    </r>
    <r>
      <rPr>
        <b/>
        <sz val="12"/>
        <rFont val="Times New Roman"/>
        <family val="1"/>
      </rPr>
      <t>En productos elaborados</t>
    </r>
    <r>
      <rPr>
        <sz val="12"/>
        <rFont val="Times New Roman"/>
        <family val="1"/>
      </rPr>
      <t xml:space="preserve"> se puede incluir la variedad de productos que fabrica el establecimiento.
c) En la sección 1.2.4a que trata de la </t>
    </r>
    <r>
      <rPr>
        <b/>
        <sz val="12"/>
        <rFont val="Times New Roman"/>
        <family val="1"/>
      </rPr>
      <t>temperatura</t>
    </r>
    <r>
      <rPr>
        <sz val="12"/>
        <rFont val="Times New Roman"/>
        <family val="1"/>
      </rPr>
      <t xml:space="preserve">, se deberá verificar si el establecimiento pasteuriza la leche que usa en la producción. En caso que no pasteurice, no se deberá considerar cumplimiento total independientemente que se evidencien otros cumplimientos con los  requerimientos de la sección.          </t>
    </r>
  </si>
  <si>
    <t>El técnico de la DIGEMAPS está facultado para solicitar al establecimiento en proceso de inspección cualquier información o documento necesario para verificar el cumplimiento de la legislación vigente aplicable para asegurar la inocuidad del producto, aunque dicha información o o documento no sea referenciado en la ficha de inspección.</t>
  </si>
  <si>
    <t>OBSERVACIONES GENERALES</t>
  </si>
  <si>
    <t>Valor</t>
  </si>
  <si>
    <t>C,M,Me</t>
  </si>
  <si>
    <t>Respuesta</t>
  </si>
  <si>
    <r>
      <t xml:space="preserve">C : </t>
    </r>
    <r>
      <rPr>
        <b/>
        <sz val="14"/>
        <color theme="1"/>
        <rFont val="Times New Roman"/>
        <family val="1"/>
      </rPr>
      <t>No Conformidad Crítica</t>
    </r>
  </si>
  <si>
    <r>
      <t xml:space="preserve">M: </t>
    </r>
    <r>
      <rPr>
        <b/>
        <sz val="14"/>
        <color theme="1"/>
        <rFont val="Times New Roman"/>
        <family val="1"/>
      </rPr>
      <t>No Conformidad Mayor</t>
    </r>
  </si>
  <si>
    <t>No se toma en cuenta para el calculo final de la evaluacion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</si>
</sst>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Times New Roman"/>
      <family val="1"/>
    </font>
    <font>
      <b/>
      <sz val="14"/>
      <color theme="0"/>
      <name val="Times New Roman"/>
      <family val="1"/>
    </font>
    <font>
      <b/>
      <sz val="12"/>
      <color theme="0"/>
      <name val="Times New Roman"/>
      <family val="1"/>
    </font>
    <font>
      <b/>
      <sz val="12"/>
      <color theme="1"/>
      <name val="Times New Roman"/>
      <family val="1"/>
    </font>
    <font>
      <b/>
      <sz val="12"/>
      <color rgb="FF000000"/>
      <name val="Times New Roman"/>
      <family val="1"/>
    </font>
    <font>
      <sz val="12"/>
      <color rgb="FF000000"/>
      <name val="Times New Roman"/>
      <family val="1"/>
    </font>
    <font>
      <b/>
      <sz val="12"/>
      <name val="Times New Roman"/>
      <family val="1"/>
    </font>
    <font>
      <sz val="12"/>
      <name val="Times New Roman"/>
      <family val="1"/>
    </font>
    <font>
      <b/>
      <sz val="14"/>
      <name val="Times New Roman"/>
      <family val="1"/>
    </font>
    <font>
      <sz val="11"/>
      <name val="Calibri"/>
      <family val="2"/>
      <scheme val="minor"/>
    </font>
    <font>
      <b/>
      <sz val="14"/>
      <color theme="1"/>
      <name val="Times New Roman"/>
      <family val="1"/>
    </font>
    <font>
      <sz val="14"/>
      <name val="Times New Roman"/>
      <family val="1"/>
    </font>
    <font>
      <b/>
      <sz val="14"/>
      <color rgb="FF000000"/>
      <name val="Times New Roman"/>
      <family val="1"/>
    </font>
    <font>
      <sz val="16"/>
      <color rgb="FF000000"/>
      <name val="Calibri"/>
      <family val="2"/>
      <scheme val="minor"/>
    </font>
    <font>
      <b/>
      <sz val="14"/>
      <color rgb="FFFF0000"/>
      <name val="Times New Roman"/>
      <family val="1"/>
    </font>
    <font>
      <b/>
      <sz val="20"/>
      <color theme="1"/>
      <name val="Times New Roman"/>
      <family val="1"/>
    </font>
    <font>
      <b/>
      <sz val="13"/>
      <color theme="1"/>
      <name val="Times New Roman"/>
      <family val="1"/>
    </font>
    <font>
      <sz val="14"/>
      <color theme="1"/>
      <name val="Times New Roman"/>
      <family val="1"/>
    </font>
    <font>
      <b/>
      <sz val="11"/>
      <color theme="1"/>
      <name val="Calibri"/>
      <family val="2"/>
      <scheme val="minor"/>
    </font>
    <font>
      <b/>
      <sz val="12"/>
      <color theme="1"/>
      <name val="Calibri"/>
      <family val="2"/>
      <scheme val="minor"/>
    </font>
    <font>
      <b/>
      <sz val="12"/>
      <color rgb="FF000000"/>
      <name val="Calibri"/>
      <family val="2"/>
      <scheme val="minor"/>
    </font>
    <font>
      <sz val="9"/>
      <color theme="1"/>
      <name val="Calibri"/>
      <family val="2"/>
      <scheme val="minor"/>
    </font>
    <font>
      <sz val="10"/>
      <color rgb="FF808080"/>
      <name val="Calibri"/>
      <family val="2"/>
      <scheme val="minor"/>
    </font>
    <font>
      <b/>
      <sz val="12"/>
      <color rgb="FF000000"/>
      <name val="Calibri"/>
      <family val="2"/>
    </font>
    <font>
      <b/>
      <sz val="7"/>
      <color rgb="FF000000"/>
      <name val="Times New Roman"/>
      <family val="1"/>
    </font>
    <font>
      <sz val="12"/>
      <color rgb="FF808080"/>
      <name val="Times New Roman"/>
      <family val="1"/>
    </font>
    <font>
      <b/>
      <sz val="12"/>
      <color rgb="FF808080"/>
      <name val="Times New Roman"/>
      <family val="1"/>
    </font>
    <font>
      <sz val="12"/>
      <color rgb="FFFF0000"/>
      <name val="Times New Roman"/>
      <family val="1"/>
    </font>
    <font>
      <sz val="14"/>
      <color theme="1"/>
      <name val="Calibri"/>
      <family val="2"/>
      <scheme val="minor"/>
    </font>
    <font>
      <b/>
      <sz val="12"/>
      <color rgb="FFFF0000"/>
      <name val="Times New Roman"/>
      <family val="1"/>
    </font>
    <font>
      <sz val="9"/>
      <color theme="1"/>
      <name val="Times New Roman"/>
      <family val="1"/>
    </font>
    <font>
      <sz val="11"/>
      <color theme="1"/>
      <name val="Times New Roman"/>
      <family val="1"/>
    </font>
    <font>
      <b/>
      <u/>
      <sz val="14"/>
      <color theme="1"/>
      <name val="Times New Roman"/>
      <family val="1"/>
    </font>
    <font>
      <sz val="14"/>
      <color rgb="FF333333"/>
      <name val="Times New Roman"/>
      <family val="1"/>
    </font>
    <font>
      <sz val="14"/>
      <color rgb="FF000000"/>
      <name val="Times New Roman"/>
      <family val="1"/>
    </font>
    <font>
      <u/>
      <sz val="11"/>
      <color theme="10"/>
      <name val="Calibri"/>
      <family val="2"/>
      <scheme val="minor"/>
    </font>
    <font>
      <b/>
      <sz val="12"/>
      <color theme="1"/>
      <name val="Calibri"/>
      <family val="2"/>
    </font>
    <font>
      <b/>
      <sz val="12"/>
      <color theme="1"/>
      <name val="Times New Roman"/>
      <family val="2"/>
    </font>
  </fonts>
  <fills count="17">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8" tint="0.79998168889431442"/>
        <bgColor indexed="64"/>
      </patternFill>
    </fill>
    <fill>
      <patternFill patternType="solid">
        <fgColor theme="8"/>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B4C6E7"/>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bgColor indexed="64"/>
      </patternFill>
    </fill>
    <fill>
      <patternFill patternType="solid">
        <fgColor rgb="FF00B05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36" fillId="0" borderId="0" applyNumberFormat="0" applyFill="0" applyBorder="0" applyAlignment="0" applyProtection="0"/>
  </cellStyleXfs>
  <cellXfs count="857">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vertical="center"/>
    </xf>
    <xf numFmtId="0" fontId="8" fillId="0" borderId="0" xfId="0" applyFont="1"/>
    <xf numFmtId="0" fontId="10" fillId="0" borderId="0" xfId="0" applyFont="1" applyAlignment="1">
      <alignment vertical="center" wrapText="1"/>
    </xf>
    <xf numFmtId="0" fontId="10" fillId="0" borderId="0" xfId="0" applyFont="1" applyAlignment="1">
      <alignment vertical="center"/>
    </xf>
    <xf numFmtId="0" fontId="8" fillId="0" borderId="0" xfId="0" applyFont="1" applyAlignment="1">
      <alignment vertical="center"/>
    </xf>
    <xf numFmtId="0" fontId="1" fillId="0" borderId="1" xfId="0" applyFont="1" applyBorder="1" applyAlignment="1">
      <alignment horizontal="center"/>
    </xf>
    <xf numFmtId="0" fontId="6" fillId="0" borderId="0" xfId="0" applyFont="1" applyAlignment="1">
      <alignment vertical="center"/>
    </xf>
    <xf numFmtId="0" fontId="5" fillId="0" borderId="0" xfId="0" applyFont="1" applyAlignment="1">
      <alignment vertical="center"/>
    </xf>
    <xf numFmtId="0" fontId="4" fillId="0" borderId="1" xfId="0" applyFont="1" applyBorder="1" applyAlignment="1">
      <alignment horizontal="center"/>
    </xf>
    <xf numFmtId="0" fontId="4" fillId="5" borderId="1" xfId="0" applyFont="1" applyFill="1" applyBorder="1" applyAlignment="1">
      <alignment horizontal="center" vertical="center"/>
    </xf>
    <xf numFmtId="0" fontId="14" fillId="0" borderId="0" xfId="0" applyFont="1"/>
    <xf numFmtId="0" fontId="15" fillId="0" borderId="1" xfId="0" applyFont="1" applyBorder="1" applyAlignment="1">
      <alignment horizontal="center" vertical="center"/>
    </xf>
    <xf numFmtId="0" fontId="11" fillId="0" borderId="0" xfId="0" applyFont="1"/>
    <xf numFmtId="0" fontId="2" fillId="0" borderId="16" xfId="0" applyFont="1" applyBorder="1" applyAlignment="1">
      <alignment horizontal="center"/>
    </xf>
    <xf numFmtId="0" fontId="0" fillId="0" borderId="0" xfId="0" applyAlignment="1">
      <alignment vertical="center"/>
    </xf>
    <xf numFmtId="0" fontId="11" fillId="0" borderId="1" xfId="0" applyFont="1" applyBorder="1" applyAlignment="1">
      <alignment horizontal="center"/>
    </xf>
    <xf numFmtId="0" fontId="11" fillId="6" borderId="1" xfId="0" applyFont="1" applyFill="1" applyBorder="1" applyAlignment="1">
      <alignment horizontal="center"/>
    </xf>
    <xf numFmtId="0" fontId="11" fillId="6" borderId="1" xfId="0" applyFont="1" applyFill="1" applyBorder="1"/>
    <xf numFmtId="0" fontId="11" fillId="5" borderId="1" xfId="0" applyFont="1" applyFill="1" applyBorder="1" applyAlignment="1">
      <alignment horizontal="center"/>
    </xf>
    <xf numFmtId="0" fontId="11" fillId="0" borderId="1" xfId="0" applyFont="1" applyBorder="1" applyAlignment="1">
      <alignment horizontal="center" vertical="center"/>
    </xf>
    <xf numFmtId="0" fontId="1" fillId="0" borderId="0" xfId="0" applyFont="1" applyAlignment="1">
      <alignment horizontal="left" vertical="top" wrapText="1"/>
    </xf>
    <xf numFmtId="0" fontId="4" fillId="0" borderId="0" xfId="0" applyFont="1"/>
    <xf numFmtId="0" fontId="11" fillId="5" borderId="1" xfId="0" applyFont="1" applyFill="1" applyBorder="1"/>
    <xf numFmtId="0" fontId="1" fillId="5" borderId="1" xfId="0" applyFont="1" applyFill="1" applyBorder="1"/>
    <xf numFmtId="0" fontId="11" fillId="6" borderId="1" xfId="0" applyFont="1" applyFill="1" applyBorder="1" applyAlignment="1">
      <alignment horizontal="center" vertical="center"/>
    </xf>
    <xf numFmtId="0" fontId="11" fillId="6" borderId="1" xfId="0" applyFont="1" applyFill="1" applyBorder="1" applyAlignment="1">
      <alignment vertical="center"/>
    </xf>
    <xf numFmtId="0" fontId="11" fillId="5" borderId="1" xfId="0" applyFont="1" applyFill="1" applyBorder="1" applyAlignment="1">
      <alignment horizontal="center" vertical="center"/>
    </xf>
    <xf numFmtId="0" fontId="11" fillId="5" borderId="1" xfId="0" applyFont="1" applyFill="1" applyBorder="1" applyAlignment="1">
      <alignment vertical="center"/>
    </xf>
    <xf numFmtId="0" fontId="11" fillId="9" borderId="1" xfId="0" applyFont="1" applyFill="1" applyBorder="1" applyAlignment="1">
      <alignment horizontal="center" vertical="center"/>
    </xf>
    <xf numFmtId="0" fontId="11" fillId="9" borderId="1" xfId="0" applyFont="1" applyFill="1" applyBorder="1" applyAlignment="1">
      <alignment vertical="center"/>
    </xf>
    <xf numFmtId="0" fontId="11" fillId="10" borderId="1" xfId="0" applyFont="1" applyFill="1" applyBorder="1" applyAlignment="1">
      <alignment horizontal="center"/>
    </xf>
    <xf numFmtId="0" fontId="11" fillId="10" borderId="1" xfId="0" applyFont="1" applyFill="1" applyBorder="1"/>
    <xf numFmtId="0" fontId="11" fillId="0" borderId="0" xfId="0" applyFont="1" applyAlignment="1">
      <alignment wrapText="1"/>
    </xf>
    <xf numFmtId="0" fontId="1" fillId="0" borderId="0" xfId="0" applyFont="1" applyAlignment="1">
      <alignment horizontal="center" wrapText="1"/>
    </xf>
    <xf numFmtId="0" fontId="1" fillId="0" borderId="5" xfId="0" applyFont="1" applyBorder="1"/>
    <xf numFmtId="0" fontId="20" fillId="0" borderId="0" xfId="0" applyFont="1" applyAlignment="1">
      <alignment horizontal="center" vertical="center" wrapText="1"/>
    </xf>
    <xf numFmtId="0" fontId="21" fillId="0" borderId="0" xfId="0" applyFont="1" applyAlignment="1">
      <alignment horizontal="center" vertical="center" wrapText="1"/>
    </xf>
    <xf numFmtId="0" fontId="24" fillId="0" borderId="0" xfId="0" applyFont="1" applyAlignment="1">
      <alignment horizontal="left" vertical="center" indent="2"/>
    </xf>
    <xf numFmtId="0" fontId="19" fillId="0" borderId="0" xfId="0" applyFont="1" applyAlignment="1">
      <alignment horizontal="center" vertical="center" wrapText="1"/>
    </xf>
    <xf numFmtId="0" fontId="22" fillId="0" borderId="0" xfId="0" applyFont="1" applyAlignment="1">
      <alignment horizontal="center" vertical="center" wrapText="1"/>
    </xf>
    <xf numFmtId="0" fontId="0" fillId="0" borderId="0" xfId="0" applyAlignment="1">
      <alignment horizontal="center" vertical="center" wrapText="1"/>
    </xf>
    <xf numFmtId="0" fontId="23" fillId="0" borderId="0" xfId="0" applyFont="1" applyAlignment="1">
      <alignment horizontal="center" vertical="center" wrapText="1"/>
    </xf>
    <xf numFmtId="0" fontId="0" fillId="6" borderId="0" xfId="0" applyFill="1"/>
    <xf numFmtId="0" fontId="1" fillId="6" borderId="0" xfId="0" applyFont="1" applyFill="1"/>
    <xf numFmtId="0" fontId="1" fillId="10" borderId="0" xfId="0" applyFont="1" applyFill="1"/>
    <xf numFmtId="0" fontId="0" fillId="10" borderId="0" xfId="0" applyFill="1"/>
    <xf numFmtId="0" fontId="11" fillId="6" borderId="0" xfId="0" applyFont="1" applyFill="1"/>
    <xf numFmtId="0" fontId="11" fillId="6" borderId="0" xfId="0" applyFont="1" applyFill="1" applyAlignment="1">
      <alignment horizontal="left"/>
    </xf>
    <xf numFmtId="0" fontId="11" fillId="6" borderId="0" xfId="0" applyFont="1" applyFill="1" applyAlignment="1">
      <alignment horizontal="left" vertical="top" wrapText="1"/>
    </xf>
    <xf numFmtId="0" fontId="1" fillId="6" borderId="0" xfId="0" applyFont="1" applyFill="1" applyAlignment="1">
      <alignment vertical="top" wrapText="1"/>
    </xf>
    <xf numFmtId="0" fontId="1" fillId="6" borderId="0" xfId="0" applyFont="1" applyFill="1" applyAlignment="1">
      <alignment horizontal="left" vertical="top" wrapText="1"/>
    </xf>
    <xf numFmtId="0" fontId="1" fillId="5" borderId="0" xfId="0" applyFont="1" applyFill="1"/>
    <xf numFmtId="0" fontId="1" fillId="5" borderId="15" xfId="0" applyFont="1" applyFill="1" applyBorder="1"/>
    <xf numFmtId="0" fontId="1" fillId="5" borderId="5" xfId="0" applyFont="1" applyFill="1" applyBorder="1"/>
    <xf numFmtId="0" fontId="1" fillId="10" borderId="8" xfId="0" applyFont="1" applyFill="1" applyBorder="1"/>
    <xf numFmtId="0" fontId="1" fillId="10" borderId="11" xfId="0" applyFont="1" applyFill="1" applyBorder="1"/>
    <xf numFmtId="0" fontId="1" fillId="6" borderId="8" xfId="0" applyFont="1" applyFill="1" applyBorder="1"/>
    <xf numFmtId="0" fontId="1" fillId="6" borderId="11" xfId="0" applyFont="1" applyFill="1" applyBorder="1"/>
    <xf numFmtId="0" fontId="5" fillId="0" borderId="0" xfId="0" applyFont="1"/>
    <xf numFmtId="0" fontId="6" fillId="0" borderId="0" xfId="0" applyFont="1"/>
    <xf numFmtId="0" fontId="4" fillId="0" borderId="0" xfId="0" applyFont="1" applyAlignment="1">
      <alignment vertical="center"/>
    </xf>
    <xf numFmtId="0" fontId="0" fillId="0" borderId="10" xfId="0" applyBorder="1"/>
    <xf numFmtId="0" fontId="4" fillId="0" borderId="11" xfId="0" applyFont="1" applyBorder="1" applyAlignment="1">
      <alignment vertical="center"/>
    </xf>
    <xf numFmtId="0" fontId="0" fillId="0" borderId="5" xfId="0" applyBorder="1"/>
    <xf numFmtId="0" fontId="16" fillId="0" borderId="0" xfId="0" applyFont="1" applyAlignment="1">
      <alignment vertical="center"/>
    </xf>
    <xf numFmtId="0" fontId="16" fillId="0" borderId="12" xfId="0" applyFont="1" applyBorder="1" applyAlignment="1">
      <alignment vertical="center"/>
    </xf>
    <xf numFmtId="0" fontId="4" fillId="0" borderId="12" xfId="0" applyFont="1" applyBorder="1" applyAlignment="1">
      <alignment vertical="center"/>
    </xf>
    <xf numFmtId="0" fontId="11" fillId="0" borderId="0" xfId="0" applyFont="1" applyAlignment="1">
      <alignment horizontal="center" vertical="center"/>
    </xf>
    <xf numFmtId="0" fontId="16" fillId="0" borderId="0" xfId="0" applyFont="1" applyAlignment="1">
      <alignment horizontal="center" vertical="center"/>
    </xf>
    <xf numFmtId="0" fontId="0" fillId="0" borderId="8" xfId="0" applyBorder="1"/>
    <xf numFmtId="0" fontId="0" fillId="0" borderId="11" xfId="0" applyBorder="1"/>
    <xf numFmtId="0" fontId="9" fillId="0" borderId="0" xfId="0" applyFont="1" applyAlignment="1">
      <alignment vertical="center" wrapText="1"/>
    </xf>
    <xf numFmtId="0" fontId="11" fillId="0" borderId="5" xfId="0" applyFont="1" applyBorder="1" applyAlignment="1">
      <alignment vertical="top" wrapText="1"/>
    </xf>
    <xf numFmtId="0" fontId="1" fillId="0" borderId="0" xfId="0" applyFont="1" applyAlignment="1">
      <alignment horizontal="left"/>
    </xf>
    <xf numFmtId="0" fontId="9" fillId="0" borderId="0" xfId="0" applyFont="1" applyAlignment="1">
      <alignment vertical="center"/>
    </xf>
    <xf numFmtId="0" fontId="29" fillId="0" borderId="0" xfId="0" applyFont="1"/>
    <xf numFmtId="0" fontId="11" fillId="0" borderId="5" xfId="0" applyFont="1" applyBorder="1" applyAlignment="1">
      <alignment vertical="center" wrapText="1"/>
    </xf>
    <xf numFmtId="0" fontId="11" fillId="0" borderId="12" xfId="0" applyFont="1" applyBorder="1" applyAlignment="1">
      <alignment horizontal="center"/>
    </xf>
    <xf numFmtId="0" fontId="29" fillId="0" borderId="5" xfId="0" applyFont="1" applyBorder="1"/>
    <xf numFmtId="0" fontId="11" fillId="0" borderId="5" xfId="0" applyFont="1" applyBorder="1"/>
    <xf numFmtId="0" fontId="0" fillId="0" borderId="7" xfId="0" applyBorder="1"/>
    <xf numFmtId="0" fontId="0" fillId="0" borderId="6" xfId="0" applyBorder="1"/>
    <xf numFmtId="0" fontId="0" fillId="0" borderId="14" xfId="0" applyBorder="1"/>
    <xf numFmtId="0" fontId="11" fillId="0" borderId="5" xfId="0" applyFont="1" applyBorder="1" applyAlignment="1">
      <alignment horizontal="center"/>
    </xf>
    <xf numFmtId="0" fontId="11" fillId="0" borderId="5" xfId="0" applyFont="1" applyBorder="1" applyAlignment="1">
      <alignment vertical="top"/>
    </xf>
    <xf numFmtId="0" fontId="11" fillId="0" borderId="10" xfId="0" applyFont="1" applyBorder="1" applyAlignment="1">
      <alignment vertical="center" wrapText="1"/>
    </xf>
    <xf numFmtId="0" fontId="1" fillId="0" borderId="8" xfId="0" applyFont="1" applyBorder="1" applyAlignment="1">
      <alignment horizontal="left"/>
    </xf>
    <xf numFmtId="0" fontId="29" fillId="0" borderId="7" xfId="0" applyFont="1" applyBorder="1"/>
    <xf numFmtId="0" fontId="29" fillId="0" borderId="6" xfId="0" applyFont="1" applyBorder="1"/>
    <xf numFmtId="0" fontId="11" fillId="0" borderId="7" xfId="0" applyFont="1" applyBorder="1" applyAlignment="1">
      <alignment horizontal="center"/>
    </xf>
    <xf numFmtId="0" fontId="11" fillId="0" borderId="14" xfId="0" applyFont="1" applyBorder="1" applyAlignment="1">
      <alignment horizontal="center"/>
    </xf>
    <xf numFmtId="0" fontId="10" fillId="0" borderId="5" xfId="0" applyFont="1" applyBorder="1" applyAlignment="1">
      <alignment vertical="center"/>
    </xf>
    <xf numFmtId="0" fontId="11" fillId="0" borderId="5" xfId="0" applyFont="1" applyBorder="1" applyAlignment="1">
      <alignment horizontal="left" vertical="top"/>
    </xf>
    <xf numFmtId="0" fontId="11" fillId="0" borderId="7" xfId="0" applyFont="1" applyBorder="1"/>
    <xf numFmtId="0" fontId="11" fillId="6" borderId="3" xfId="0" applyFont="1" applyFill="1" applyBorder="1"/>
    <xf numFmtId="0" fontId="11" fillId="6" borderId="4" xfId="0" applyFont="1" applyFill="1" applyBorder="1"/>
    <xf numFmtId="0" fontId="11" fillId="0" borderId="0" xfId="0" applyFont="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center"/>
    </xf>
    <xf numFmtId="0" fontId="11" fillId="0" borderId="6" xfId="0" applyFont="1" applyBorder="1" applyAlignment="1">
      <alignment vertical="center"/>
    </xf>
    <xf numFmtId="0" fontId="11" fillId="0" borderId="14" xfId="0" applyFont="1" applyBorder="1" applyAlignment="1">
      <alignment vertical="center"/>
    </xf>
    <xf numFmtId="0" fontId="1" fillId="13" borderId="0" xfId="0" applyFont="1" applyFill="1"/>
    <xf numFmtId="0" fontId="0" fillId="13" borderId="0" xfId="0" applyFill="1"/>
    <xf numFmtId="0" fontId="6" fillId="13" borderId="0" xfId="0" applyFont="1" applyFill="1" applyAlignment="1">
      <alignment vertical="center"/>
    </xf>
    <xf numFmtId="0" fontId="6" fillId="13" borderId="0" xfId="0" applyFont="1" applyFill="1"/>
    <xf numFmtId="0" fontId="0" fillId="13" borderId="0" xfId="0" applyFill="1" applyAlignment="1">
      <alignment vertical="center"/>
    </xf>
    <xf numFmtId="0" fontId="9" fillId="0" borderId="5" xfId="0" applyFont="1" applyBorder="1" applyAlignment="1">
      <alignment horizontal="left" vertical="center"/>
    </xf>
    <xf numFmtId="0" fontId="9" fillId="0" borderId="12" xfId="0" applyFont="1" applyBorder="1" applyAlignment="1">
      <alignment horizontal="center" vertical="center" wrapText="1"/>
    </xf>
    <xf numFmtId="0" fontId="1" fillId="0" borderId="8" xfId="0" applyFont="1" applyBorder="1" applyAlignment="1">
      <alignment horizontal="left" vertical="top"/>
    </xf>
    <xf numFmtId="0" fontId="11" fillId="0" borderId="5" xfId="0" applyFont="1" applyBorder="1" applyAlignment="1">
      <alignment horizontal="left" vertical="center"/>
    </xf>
    <xf numFmtId="0" fontId="9" fillId="0" borderId="5" xfId="0" applyFont="1" applyBorder="1" applyAlignment="1">
      <alignment horizontal="center" vertical="center"/>
    </xf>
    <xf numFmtId="0" fontId="9" fillId="0" borderId="12" xfId="0" applyFont="1" applyBorder="1" applyAlignment="1">
      <alignment horizontal="center" vertical="center"/>
    </xf>
    <xf numFmtId="0" fontId="0" fillId="0" borderId="12" xfId="0" applyBorder="1"/>
    <xf numFmtId="0" fontId="11" fillId="0" borderId="10" xfId="0" applyFont="1" applyBorder="1" applyAlignment="1">
      <alignment vertical="top" wrapText="1"/>
    </xf>
    <xf numFmtId="0" fontId="9" fillId="0" borderId="5" xfId="0" applyFont="1" applyBorder="1" applyAlignment="1">
      <alignment vertical="center"/>
    </xf>
    <xf numFmtId="0" fontId="9" fillId="0" borderId="12" xfId="0" applyFont="1" applyBorder="1" applyAlignment="1">
      <alignment vertical="center"/>
    </xf>
    <xf numFmtId="0" fontId="11" fillId="10" borderId="0" xfId="0" applyFont="1" applyFill="1" applyAlignment="1">
      <alignment horizontal="center"/>
    </xf>
    <xf numFmtId="0" fontId="9" fillId="0" borderId="10" xfId="0" applyFont="1" applyBorder="1" applyAlignment="1">
      <alignment horizontal="left" vertical="center"/>
    </xf>
    <xf numFmtId="0" fontId="8" fillId="0" borderId="12" xfId="0" applyFont="1" applyBorder="1" applyAlignment="1">
      <alignment vertical="center"/>
    </xf>
    <xf numFmtId="0" fontId="1" fillId="0" borderId="0" xfId="0" applyFont="1" applyAlignment="1">
      <alignment vertical="top" wrapText="1"/>
    </xf>
    <xf numFmtId="0" fontId="8" fillId="0" borderId="0" xfId="0" applyFont="1" applyAlignment="1">
      <alignment horizontal="left" vertical="center"/>
    </xf>
    <xf numFmtId="0" fontId="8" fillId="0" borderId="12" xfId="0" applyFont="1" applyBorder="1" applyAlignment="1">
      <alignment horizontal="left" vertical="center"/>
    </xf>
    <xf numFmtId="0" fontId="8" fillId="0" borderId="0" xfId="0" applyFont="1" applyAlignment="1">
      <alignment horizontal="left" vertical="top"/>
    </xf>
    <xf numFmtId="0" fontId="8" fillId="0" borderId="12" xfId="0" applyFont="1" applyBorder="1" applyAlignment="1">
      <alignment horizontal="left" vertical="top"/>
    </xf>
    <xf numFmtId="0" fontId="29" fillId="0" borderId="0" xfId="0" applyFont="1" applyAlignment="1">
      <alignment vertical="top" wrapText="1"/>
    </xf>
    <xf numFmtId="0" fontId="11" fillId="6" borderId="13" xfId="0" applyFont="1" applyFill="1" applyBorder="1" applyAlignment="1">
      <alignment horizontal="center"/>
    </xf>
    <xf numFmtId="0" fontId="11" fillId="6" borderId="13" xfId="0" applyFont="1" applyFill="1" applyBorder="1"/>
    <xf numFmtId="0" fontId="0" fillId="0" borderId="0" xfId="0" applyAlignment="1">
      <alignment vertical="top" wrapText="1"/>
    </xf>
    <xf numFmtId="0" fontId="1" fillId="5" borderId="12" xfId="0" applyFont="1" applyFill="1" applyBorder="1"/>
    <xf numFmtId="0" fontId="8" fillId="0" borderId="8" xfId="0" applyFont="1" applyBorder="1" applyAlignment="1">
      <alignment vertical="top"/>
    </xf>
    <xf numFmtId="0" fontId="8" fillId="0" borderId="11" xfId="0" applyFont="1" applyBorder="1" applyAlignment="1">
      <alignment vertical="top"/>
    </xf>
    <xf numFmtId="0" fontId="9" fillId="0" borderId="10" xfId="0" applyFont="1" applyBorder="1" applyAlignment="1">
      <alignment vertical="center"/>
    </xf>
    <xf numFmtId="0" fontId="9" fillId="0" borderId="11" xfId="0" applyFont="1" applyBorder="1" applyAlignment="1">
      <alignment vertical="center"/>
    </xf>
    <xf numFmtId="0" fontId="8" fillId="0" borderId="0" xfId="0" applyFont="1" applyAlignment="1">
      <alignment vertical="top"/>
    </xf>
    <xf numFmtId="0" fontId="11" fillId="0" borderId="7" xfId="0" applyFont="1" applyBorder="1" applyAlignment="1">
      <alignment horizontal="center" vertical="center"/>
    </xf>
    <xf numFmtId="0" fontId="11" fillId="0" borderId="6" xfId="0" applyFont="1" applyBorder="1" applyAlignment="1">
      <alignment horizontal="center" vertical="center"/>
    </xf>
    <xf numFmtId="0" fontId="15" fillId="0" borderId="6" xfId="0" applyFont="1" applyBorder="1" applyAlignment="1">
      <alignment horizontal="center" vertical="center"/>
    </xf>
    <xf numFmtId="0" fontId="9" fillId="0" borderId="6" xfId="0" applyFont="1" applyBorder="1" applyAlignment="1">
      <alignment vertical="center" wrapText="1"/>
    </xf>
    <xf numFmtId="0" fontId="1" fillId="0" borderId="6" xfId="0" applyFont="1" applyBorder="1"/>
    <xf numFmtId="0" fontId="1" fillId="0" borderId="14" xfId="0" applyFont="1" applyBorder="1"/>
    <xf numFmtId="0" fontId="1" fillId="0" borderId="7" xfId="0" applyFont="1" applyBorder="1"/>
    <xf numFmtId="0" fontId="8" fillId="0" borderId="12" xfId="0" applyFont="1" applyBorder="1" applyAlignment="1">
      <alignment vertical="top"/>
    </xf>
    <xf numFmtId="0" fontId="1" fillId="6" borderId="0" xfId="0" applyFont="1" applyFill="1" applyAlignment="1">
      <alignment horizontal="justify" vertical="top" wrapText="1"/>
    </xf>
    <xf numFmtId="0" fontId="1" fillId="6" borderId="0" xfId="0" applyFont="1" applyFill="1" applyAlignment="1">
      <alignment horizontal="justify"/>
    </xf>
    <xf numFmtId="0" fontId="11" fillId="0" borderId="0" xfId="0" applyFont="1" applyAlignment="1">
      <alignment horizontal="center" vertical="top"/>
    </xf>
    <xf numFmtId="0" fontId="11" fillId="0" borderId="0" xfId="0" applyFont="1" applyAlignment="1">
      <alignment vertical="top"/>
    </xf>
    <xf numFmtId="0" fontId="9" fillId="0" borderId="0" xfId="0" applyFont="1" applyAlignment="1">
      <alignment horizontal="center" vertical="top"/>
    </xf>
    <xf numFmtId="0" fontId="11" fillId="0" borderId="5" xfId="0" applyFont="1" applyBorder="1" applyAlignment="1">
      <alignment horizontal="center" vertical="top"/>
    </xf>
    <xf numFmtId="0" fontId="9" fillId="0" borderId="12" xfId="0" applyFont="1" applyBorder="1" applyAlignment="1">
      <alignment horizontal="center" vertical="top"/>
    </xf>
    <xf numFmtId="0" fontId="9" fillId="0" borderId="5" xfId="0" applyFont="1" applyBorder="1" applyAlignment="1">
      <alignment horizontal="center" vertical="top"/>
    </xf>
    <xf numFmtId="0" fontId="0" fillId="5" borderId="0" xfId="0" applyFill="1"/>
    <xf numFmtId="0" fontId="1" fillId="5" borderId="11" xfId="0" applyFont="1" applyFill="1" applyBorder="1"/>
    <xf numFmtId="0" fontId="1" fillId="5" borderId="8" xfId="0" applyFont="1" applyFill="1" applyBorder="1"/>
    <xf numFmtId="0" fontId="11" fillId="0" borderId="5" xfId="0" applyFont="1" applyBorder="1" applyAlignment="1">
      <alignment horizontal="center" vertical="center"/>
    </xf>
    <xf numFmtId="0" fontId="15" fillId="0" borderId="0" xfId="0" applyFont="1" applyAlignment="1">
      <alignment horizontal="center" vertical="center"/>
    </xf>
    <xf numFmtId="0" fontId="9" fillId="0" borderId="0" xfId="0" applyFont="1" applyAlignment="1">
      <alignment horizontal="center" vertical="center" wrapText="1"/>
    </xf>
    <xf numFmtId="0" fontId="8" fillId="0" borderId="5" xfId="0" applyFont="1" applyBorder="1" applyAlignment="1">
      <alignment horizontal="left" vertical="center"/>
    </xf>
    <xf numFmtId="0" fontId="1" fillId="0" borderId="5" xfId="0" applyFont="1" applyBorder="1" applyAlignment="1">
      <alignment horizontal="center"/>
    </xf>
    <xf numFmtId="0" fontId="1" fillId="0" borderId="12" xfId="0" applyFont="1" applyBorder="1" applyAlignment="1">
      <alignment horizontal="center"/>
    </xf>
    <xf numFmtId="0" fontId="1" fillId="0" borderId="12" xfId="0" applyFont="1" applyBorder="1" applyAlignment="1">
      <alignment horizontal="left"/>
    </xf>
    <xf numFmtId="0" fontId="0" fillId="0" borderId="0" xfId="0" applyAlignment="1">
      <alignment vertical="top"/>
    </xf>
    <xf numFmtId="0" fontId="1" fillId="0" borderId="0" xfId="0" applyFont="1" applyAlignment="1">
      <alignment vertical="top"/>
    </xf>
    <xf numFmtId="0" fontId="1" fillId="0" borderId="12" xfId="0" applyFont="1" applyBorder="1"/>
    <xf numFmtId="0" fontId="1" fillId="5" borderId="9" xfId="0" applyFont="1" applyFill="1" applyBorder="1"/>
    <xf numFmtId="0" fontId="1" fillId="3" borderId="0" xfId="0" applyFont="1" applyFill="1" applyAlignment="1">
      <alignment vertical="top" wrapText="1"/>
    </xf>
    <xf numFmtId="0" fontId="1" fillId="3" borderId="0" xfId="0" applyFont="1" applyFill="1"/>
    <xf numFmtId="0" fontId="1" fillId="5" borderId="3" xfId="0" applyFont="1" applyFill="1" applyBorder="1"/>
    <xf numFmtId="0" fontId="1" fillId="5" borderId="4" xfId="0" applyFont="1" applyFill="1" applyBorder="1"/>
    <xf numFmtId="0" fontId="4" fillId="6" borderId="0" xfId="0" applyFont="1" applyFill="1"/>
    <xf numFmtId="0" fontId="11" fillId="0" borderId="0" xfId="0" applyFont="1" applyAlignment="1">
      <alignment horizontal="left"/>
    </xf>
    <xf numFmtId="0" fontId="4" fillId="0" borderId="0" xfId="0" applyFont="1" applyAlignment="1">
      <alignment horizontal="center"/>
    </xf>
    <xf numFmtId="0" fontId="1" fillId="0" borderId="0" xfId="0" applyFont="1" applyAlignment="1">
      <alignment horizontal="left" wrapText="1"/>
    </xf>
    <xf numFmtId="0" fontId="9" fillId="0" borderId="0" xfId="0" applyFont="1" applyAlignment="1">
      <alignment horizontal="center" vertical="center"/>
    </xf>
    <xf numFmtId="0" fontId="9" fillId="5" borderId="1" xfId="0" applyFont="1" applyFill="1" applyBorder="1" applyAlignment="1">
      <alignment horizontal="left" vertical="center"/>
    </xf>
    <xf numFmtId="0" fontId="9" fillId="5" borderId="9" xfId="0" applyFont="1" applyFill="1" applyBorder="1" applyAlignment="1">
      <alignment horizontal="left" vertical="center"/>
    </xf>
    <xf numFmtId="0" fontId="9" fillId="5" borderId="13" xfId="0" applyFont="1" applyFill="1" applyBorder="1" applyAlignment="1">
      <alignment horizontal="left" vertical="center"/>
    </xf>
    <xf numFmtId="0" fontId="4" fillId="0" borderId="12" xfId="0" applyFont="1" applyBorder="1"/>
    <xf numFmtId="0" fontId="4" fillId="0" borderId="12" xfId="0" applyFont="1" applyBorder="1" applyAlignment="1">
      <alignment horizontal="center"/>
    </xf>
    <xf numFmtId="0" fontId="4" fillId="0" borderId="5" xfId="0" applyFont="1" applyBorder="1"/>
    <xf numFmtId="0" fontId="4" fillId="0" borderId="5" xfId="0" applyFont="1" applyBorder="1" applyAlignment="1">
      <alignment horizontal="center"/>
    </xf>
    <xf numFmtId="0" fontId="9" fillId="6" borderId="0" xfId="0" applyFont="1" applyFill="1" applyAlignment="1">
      <alignment horizontal="center" vertical="center"/>
    </xf>
    <xf numFmtId="0" fontId="7" fillId="0" borderId="0" xfId="0" applyFont="1" applyAlignment="1">
      <alignment horizontal="center" vertical="center" wrapText="1"/>
    </xf>
    <xf numFmtId="0" fontId="7" fillId="0" borderId="0" xfId="0" applyFont="1" applyAlignment="1">
      <alignment vertical="center" wrapText="1"/>
    </xf>
    <xf numFmtId="0" fontId="1" fillId="6" borderId="1" xfId="0" applyFont="1" applyFill="1" applyBorder="1"/>
    <xf numFmtId="0" fontId="1" fillId="5" borderId="13" xfId="0" applyFont="1" applyFill="1" applyBorder="1"/>
    <xf numFmtId="0" fontId="11" fillId="9" borderId="1" xfId="0" applyFont="1" applyFill="1" applyBorder="1" applyAlignment="1">
      <alignment horizontal="left"/>
    </xf>
    <xf numFmtId="0" fontId="2" fillId="0" borderId="0" xfId="0" applyFont="1" applyAlignment="1">
      <alignment vertical="center"/>
    </xf>
    <xf numFmtId="0" fontId="2" fillId="0" borderId="0" xfId="0" applyFont="1"/>
    <xf numFmtId="0" fontId="16" fillId="0" borderId="5" xfId="0" applyFont="1" applyBorder="1" applyAlignment="1">
      <alignment vertical="center"/>
    </xf>
    <xf numFmtId="0" fontId="3" fillId="3" borderId="1" xfId="0" applyFont="1" applyFill="1" applyBorder="1"/>
    <xf numFmtId="0" fontId="18" fillId="0" borderId="0" xfId="0" applyFont="1"/>
    <xf numFmtId="0" fontId="0" fillId="3" borderId="1" xfId="0" applyFill="1" applyBorder="1"/>
    <xf numFmtId="0" fontId="12" fillId="0" borderId="0" xfId="0" applyFont="1"/>
    <xf numFmtId="0" fontId="3" fillId="0" borderId="0" xfId="0" applyFont="1" applyAlignment="1">
      <alignment vertical="center"/>
    </xf>
    <xf numFmtId="0" fontId="7" fillId="0" borderId="0" xfId="0" applyFont="1"/>
    <xf numFmtId="0" fontId="11" fillId="0" borderId="0" xfId="0" applyFont="1" applyAlignment="1">
      <alignment vertical="center"/>
    </xf>
    <xf numFmtId="0" fontId="7" fillId="0" borderId="0" xfId="0" applyFont="1" applyAlignment="1">
      <alignment vertical="center"/>
    </xf>
    <xf numFmtId="0" fontId="9" fillId="6" borderId="2" xfId="0" applyFont="1" applyFill="1" applyBorder="1" applyAlignment="1">
      <alignment vertical="center"/>
    </xf>
    <xf numFmtId="0" fontId="9" fillId="6" borderId="4" xfId="0" applyFont="1" applyFill="1" applyBorder="1" applyAlignment="1">
      <alignment vertical="center"/>
    </xf>
    <xf numFmtId="0" fontId="0" fillId="0" borderId="2" xfId="0" applyBorder="1" applyAlignment="1">
      <alignment horizontal="center"/>
    </xf>
    <xf numFmtId="0" fontId="0" fillId="0" borderId="3" xfId="0" applyBorder="1" applyAlignment="1">
      <alignment horizontal="center"/>
    </xf>
    <xf numFmtId="0" fontId="4" fillId="0" borderId="0" xfId="0" applyFont="1" applyAlignment="1">
      <alignment horizontal="center" vertical="center"/>
    </xf>
    <xf numFmtId="0" fontId="4" fillId="0" borderId="12" xfId="0" applyFont="1" applyBorder="1" applyAlignment="1">
      <alignment horizontal="center" vertical="center"/>
    </xf>
    <xf numFmtId="0" fontId="4" fillId="0" borderId="6" xfId="0" applyFont="1" applyBorder="1" applyAlignment="1">
      <alignment horizontal="center" vertical="center"/>
    </xf>
    <xf numFmtId="0" fontId="4" fillId="0" borderId="14" xfId="0" applyFont="1" applyBorder="1" applyAlignment="1">
      <alignment horizontal="center" vertical="center"/>
    </xf>
    <xf numFmtId="0" fontId="16" fillId="0" borderId="6" xfId="0" applyFont="1" applyBorder="1" applyAlignment="1">
      <alignment horizontal="center" vertical="center"/>
    </xf>
    <xf numFmtId="0" fontId="1" fillId="0" borderId="1" xfId="0" applyFont="1" applyBorder="1" applyAlignment="1">
      <alignment horizontal="center" vertical="center"/>
    </xf>
    <xf numFmtId="0" fontId="9" fillId="6" borderId="1" xfId="0" applyFont="1" applyFill="1" applyBorder="1" applyAlignment="1">
      <alignment vertical="center"/>
    </xf>
    <xf numFmtId="0" fontId="9" fillId="6" borderId="9" xfId="0" applyFont="1" applyFill="1" applyBorder="1" applyAlignment="1">
      <alignment vertical="center"/>
    </xf>
    <xf numFmtId="0" fontId="9" fillId="6" borderId="10" xfId="0" applyFont="1" applyFill="1" applyBorder="1" applyAlignment="1">
      <alignment vertical="center"/>
    </xf>
    <xf numFmtId="0" fontId="9" fillId="10" borderId="2" xfId="0" applyFont="1" applyFill="1" applyBorder="1" applyAlignment="1">
      <alignment vertical="center"/>
    </xf>
    <xf numFmtId="0" fontId="9" fillId="10" borderId="4" xfId="0" applyFont="1" applyFill="1" applyBorder="1" applyAlignment="1">
      <alignment vertical="center"/>
    </xf>
    <xf numFmtId="0" fontId="9" fillId="6" borderId="14" xfId="0" applyFont="1" applyFill="1" applyBorder="1" applyAlignment="1">
      <alignment vertical="center"/>
    </xf>
    <xf numFmtId="0" fontId="0" fillId="0" borderId="2" xfId="0" applyBorder="1"/>
    <xf numFmtId="0" fontId="9" fillId="6" borderId="13" xfId="0" applyFont="1" applyFill="1" applyBorder="1" applyAlignment="1">
      <alignment vertical="center"/>
    </xf>
    <xf numFmtId="0" fontId="9" fillId="6" borderId="7" xfId="0" applyFont="1" applyFill="1" applyBorder="1" applyAlignment="1">
      <alignment vertical="center"/>
    </xf>
    <xf numFmtId="0" fontId="11" fillId="6" borderId="9" xfId="0" applyFont="1" applyFill="1" applyBorder="1" applyAlignment="1">
      <alignment horizontal="center"/>
    </xf>
    <xf numFmtId="0" fontId="11" fillId="6" borderId="9" xfId="0" applyFont="1" applyFill="1" applyBorder="1"/>
    <xf numFmtId="0" fontId="9" fillId="6" borderId="11" xfId="0" applyFont="1" applyFill="1" applyBorder="1" applyAlignment="1">
      <alignment vertical="center"/>
    </xf>
    <xf numFmtId="0" fontId="1" fillId="4" borderId="1" xfId="0" applyFont="1" applyFill="1" applyBorder="1"/>
    <xf numFmtId="0" fontId="1" fillId="6" borderId="1" xfId="0" applyFont="1" applyFill="1" applyBorder="1" applyAlignment="1">
      <alignment horizontal="justify"/>
    </xf>
    <xf numFmtId="0" fontId="0" fillId="6" borderId="1" xfId="0" applyFill="1" applyBorder="1"/>
    <xf numFmtId="0" fontId="0" fillId="0" borderId="3" xfId="0" applyBorder="1"/>
    <xf numFmtId="0" fontId="9" fillId="5" borderId="2" xfId="0" applyFont="1" applyFill="1" applyBorder="1" applyAlignment="1">
      <alignment vertical="center"/>
    </xf>
    <xf numFmtId="0" fontId="9" fillId="5" borderId="4" xfId="0" applyFont="1" applyFill="1" applyBorder="1" applyAlignment="1">
      <alignment vertical="center"/>
    </xf>
    <xf numFmtId="0" fontId="9" fillId="5" borderId="1" xfId="0" applyFont="1" applyFill="1" applyBorder="1" applyAlignment="1">
      <alignment vertical="center"/>
    </xf>
    <xf numFmtId="0" fontId="9" fillId="9" borderId="1" xfId="0" applyFont="1" applyFill="1" applyBorder="1" applyAlignment="1">
      <alignment vertical="center"/>
    </xf>
    <xf numFmtId="0" fontId="9" fillId="6" borderId="15" xfId="0" applyFont="1" applyFill="1" applyBorder="1" applyAlignment="1">
      <alignment vertical="center"/>
    </xf>
    <xf numFmtId="0" fontId="9" fillId="5" borderId="13" xfId="0" applyFont="1" applyFill="1" applyBorder="1" applyAlignment="1">
      <alignment vertical="center"/>
    </xf>
    <xf numFmtId="0" fontId="17" fillId="0" borderId="0" xfId="0" applyFont="1" applyAlignment="1">
      <alignment vertical="top"/>
    </xf>
    <xf numFmtId="0" fontId="12" fillId="0" borderId="0" xfId="0" applyFont="1" applyAlignment="1">
      <alignment vertical="center"/>
    </xf>
    <xf numFmtId="0" fontId="11" fillId="6" borderId="13" xfId="0" applyFont="1" applyFill="1" applyBorder="1" applyAlignment="1">
      <alignment horizontal="center" vertical="center"/>
    </xf>
    <xf numFmtId="0" fontId="11" fillId="6" borderId="13" xfId="0" applyFont="1" applyFill="1" applyBorder="1" applyAlignment="1">
      <alignment vertical="center"/>
    </xf>
    <xf numFmtId="0" fontId="0" fillId="5" borderId="1" xfId="0" applyFill="1" applyBorder="1"/>
    <xf numFmtId="0" fontId="0" fillId="6" borderId="1" xfId="0" applyFill="1" applyBorder="1" applyAlignment="1">
      <alignment horizontal="justify"/>
    </xf>
    <xf numFmtId="0" fontId="11" fillId="6" borderId="1" xfId="0" applyFont="1" applyFill="1" applyBorder="1" applyAlignment="1">
      <alignment horizontal="left" vertical="top" wrapText="1"/>
    </xf>
    <xf numFmtId="0" fontId="11" fillId="0" borderId="0" xfId="0" applyFont="1" applyAlignment="1">
      <alignment vertical="top" wrapText="1"/>
    </xf>
    <xf numFmtId="0" fontId="4" fillId="0" borderId="0" xfId="0" applyFont="1" applyAlignment="1">
      <alignment vertical="center" wrapText="1"/>
    </xf>
    <xf numFmtId="0" fontId="2" fillId="0" borderId="0" xfId="0" applyFont="1" applyAlignment="1">
      <alignment horizontal="center"/>
    </xf>
    <xf numFmtId="0" fontId="2" fillId="0" borderId="20" xfId="0" applyFont="1" applyBorder="1" applyAlignment="1">
      <alignment horizontal="center"/>
    </xf>
    <xf numFmtId="0" fontId="4" fillId="0" borderId="15" xfId="0" applyFont="1" applyBorder="1"/>
    <xf numFmtId="0" fontId="1" fillId="0" borderId="15" xfId="0" applyFont="1" applyBorder="1"/>
    <xf numFmtId="0" fontId="0" fillId="0" borderId="15" xfId="0" applyBorder="1"/>
    <xf numFmtId="0" fontId="18" fillId="13" borderId="0" xfId="0" applyFont="1" applyFill="1" applyAlignment="1">
      <alignment vertical="center"/>
    </xf>
    <xf numFmtId="0" fontId="8" fillId="13" borderId="0" xfId="0" applyFont="1" applyFill="1"/>
    <xf numFmtId="0" fontId="10" fillId="13" borderId="0" xfId="0" applyFont="1" applyFill="1" applyAlignment="1">
      <alignment vertical="center"/>
    </xf>
    <xf numFmtId="0" fontId="0" fillId="13" borderId="0" xfId="0" applyFill="1" applyAlignment="1">
      <alignment vertical="top" wrapText="1"/>
    </xf>
    <xf numFmtId="0" fontId="18" fillId="15" borderId="0" xfId="0" applyFont="1" applyFill="1"/>
    <xf numFmtId="0" fontId="32" fillId="0" borderId="0" xfId="0" applyFont="1"/>
    <xf numFmtId="9" fontId="15" fillId="0" borderId="0" xfId="0" applyNumberFormat="1" applyFont="1" applyAlignment="1">
      <alignment vertical="top"/>
    </xf>
    <xf numFmtId="0" fontId="4" fillId="11" borderId="5" xfId="0" applyFont="1" applyFill="1" applyBorder="1" applyAlignment="1">
      <alignment vertical="center" wrapText="1"/>
    </xf>
    <xf numFmtId="0" fontId="1" fillId="11" borderId="5" xfId="0" applyFont="1" applyFill="1" applyBorder="1"/>
    <xf numFmtId="0" fontId="13" fillId="0" borderId="0" xfId="0" applyFont="1" applyAlignment="1">
      <alignment vertical="center" wrapText="1"/>
    </xf>
    <xf numFmtId="2" fontId="27" fillId="0" borderId="0" xfId="0" applyNumberFormat="1" applyFont="1" applyAlignment="1">
      <alignment vertical="center"/>
    </xf>
    <xf numFmtId="0" fontId="26" fillId="0" borderId="0" xfId="0" applyFont="1" applyAlignment="1">
      <alignment vertical="center"/>
    </xf>
    <xf numFmtId="0" fontId="2" fillId="0" borderId="5" xfId="0" applyFont="1" applyBorder="1" applyAlignment="1">
      <alignment vertical="center"/>
    </xf>
    <xf numFmtId="0" fontId="12" fillId="0" borderId="5" xfId="0" applyFont="1" applyBorder="1"/>
    <xf numFmtId="0" fontId="3" fillId="0" borderId="5" xfId="0" applyFont="1" applyBorder="1" applyAlignment="1">
      <alignment vertical="center"/>
    </xf>
    <xf numFmtId="0" fontId="7" fillId="0" borderId="5" xfId="0" applyFont="1" applyBorder="1"/>
    <xf numFmtId="0" fontId="1" fillId="0" borderId="5" xfId="0" applyFont="1" applyBorder="1" applyAlignment="1">
      <alignment vertical="center"/>
    </xf>
    <xf numFmtId="0" fontId="7" fillId="0" borderId="5" xfId="0" applyFont="1" applyBorder="1" applyAlignment="1">
      <alignment vertical="center" wrapText="1"/>
    </xf>
    <xf numFmtId="0" fontId="18" fillId="0" borderId="5" xfId="0" applyFont="1" applyBorder="1"/>
    <xf numFmtId="0" fontId="2" fillId="0" borderId="5" xfId="0" applyFont="1" applyBorder="1"/>
    <xf numFmtId="0" fontId="4" fillId="0" borderId="5" xfId="0" applyFont="1" applyBorder="1" applyAlignment="1">
      <alignment vertical="center"/>
    </xf>
    <xf numFmtId="0" fontId="11" fillId="16" borderId="10" xfId="0" applyFont="1" applyFill="1" applyBorder="1" applyAlignment="1">
      <alignment horizontal="center" vertical="center"/>
    </xf>
    <xf numFmtId="0" fontId="11" fillId="0" borderId="10" xfId="0" applyFont="1" applyBorder="1"/>
    <xf numFmtId="0" fontId="11" fillId="0" borderId="8" xfId="0" applyFont="1" applyBorder="1"/>
    <xf numFmtId="0" fontId="11" fillId="0" borderId="11" xfId="0" applyFont="1" applyBorder="1"/>
    <xf numFmtId="0" fontId="33" fillId="0" borderId="5"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center" vertical="center" wrapText="1"/>
    </xf>
    <xf numFmtId="0" fontId="8" fillId="0" borderId="0" xfId="0" applyFont="1" applyAlignment="1">
      <alignment vertical="top" wrapText="1"/>
    </xf>
    <xf numFmtId="9" fontId="1" fillId="0" borderId="0" xfId="0" applyNumberFormat="1" applyFont="1"/>
    <xf numFmtId="0" fontId="0" fillId="0" borderId="4" xfId="0" applyBorder="1"/>
    <xf numFmtId="0" fontId="0" fillId="5" borderId="5" xfId="0" applyFill="1" applyBorder="1"/>
    <xf numFmtId="0" fontId="1" fillId="10" borderId="5" xfId="0" applyFont="1" applyFill="1" applyBorder="1"/>
    <xf numFmtId="0" fontId="1" fillId="6" borderId="5" xfId="0" applyFont="1" applyFill="1" applyBorder="1"/>
    <xf numFmtId="0" fontId="1" fillId="6" borderId="10" xfId="0" applyFont="1" applyFill="1" applyBorder="1"/>
    <xf numFmtId="0" fontId="1" fillId="10" borderId="10" xfId="0" applyFont="1" applyFill="1" applyBorder="1"/>
    <xf numFmtId="0" fontId="0" fillId="6" borderId="12" xfId="0" applyFill="1" applyBorder="1"/>
    <xf numFmtId="0" fontId="2" fillId="0" borderId="22" xfId="0" applyFont="1" applyBorder="1" applyAlignment="1">
      <alignment horizontal="center"/>
    </xf>
    <xf numFmtId="1" fontId="11" fillId="0" borderId="0" xfId="0" applyNumberFormat="1" applyFont="1" applyAlignment="1">
      <alignment horizontal="center" vertical="center"/>
    </xf>
    <xf numFmtId="9" fontId="11" fillId="0" borderId="0" xfId="0" applyNumberFormat="1" applyFont="1" applyAlignment="1">
      <alignment horizontal="center" vertical="center"/>
    </xf>
    <xf numFmtId="0" fontId="11" fillId="0" borderId="12" xfId="0" applyFont="1" applyBorder="1" applyAlignment="1">
      <alignment horizontal="left"/>
    </xf>
    <xf numFmtId="0" fontId="15" fillId="0" borderId="5" xfId="0" applyFont="1" applyBorder="1" applyAlignment="1">
      <alignment horizontal="center" vertical="center"/>
    </xf>
    <xf numFmtId="0" fontId="15" fillId="0" borderId="0" xfId="0" applyFont="1"/>
    <xf numFmtId="0" fontId="24" fillId="11" borderId="5" xfId="0" applyFont="1" applyFill="1" applyBorder="1" applyAlignment="1">
      <alignment horizontal="left" vertical="center" indent="2"/>
    </xf>
    <xf numFmtId="0" fontId="1" fillId="11" borderId="0" xfId="0" applyFont="1" applyFill="1"/>
    <xf numFmtId="0" fontId="1" fillId="11" borderId="12" xfId="0" applyFont="1" applyFill="1" applyBorder="1"/>
    <xf numFmtId="0" fontId="4" fillId="11" borderId="0" xfId="0" applyFont="1" applyFill="1" applyAlignment="1">
      <alignment horizontal="center" vertical="center" wrapText="1"/>
    </xf>
    <xf numFmtId="0" fontId="4" fillId="11" borderId="12" xfId="0" applyFont="1" applyFill="1" applyBorder="1" applyAlignment="1">
      <alignment vertical="center" wrapText="1"/>
    </xf>
    <xf numFmtId="0" fontId="4" fillId="11" borderId="0" xfId="0" applyFont="1" applyFill="1" applyAlignment="1">
      <alignment vertical="center" wrapText="1"/>
    </xf>
    <xf numFmtId="0" fontId="7" fillId="0" borderId="3" xfId="0" applyFont="1" applyBorder="1" applyAlignment="1">
      <alignment vertical="center"/>
    </xf>
    <xf numFmtId="0" fontId="3" fillId="3" borderId="1" xfId="0" applyFont="1" applyFill="1" applyBorder="1" applyAlignment="1">
      <alignment horizontal="left" vertical="center"/>
    </xf>
    <xf numFmtId="0" fontId="2" fillId="3" borderId="10"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11" xfId="0" applyFont="1" applyFill="1" applyBorder="1" applyAlignment="1">
      <alignment horizontal="center" vertical="center"/>
    </xf>
    <xf numFmtId="0" fontId="3" fillId="3" borderId="1" xfId="0" applyFont="1" applyFill="1" applyBorder="1" applyAlignment="1">
      <alignment horizontal="left" vertical="top"/>
    </xf>
    <xf numFmtId="0" fontId="18" fillId="0" borderId="2" xfId="0" applyFont="1" applyBorder="1" applyAlignment="1">
      <alignment horizontal="center"/>
    </xf>
    <xf numFmtId="0" fontId="18" fillId="0" borderId="3" xfId="0" applyFont="1" applyBorder="1" applyAlignment="1">
      <alignment horizontal="left" vertical="center"/>
    </xf>
    <xf numFmtId="0" fontId="18" fillId="0" borderId="6" xfId="0" applyFont="1" applyBorder="1" applyAlignment="1">
      <alignment horizontal="left" vertical="center"/>
    </xf>
    <xf numFmtId="0" fontId="18" fillId="0" borderId="14" xfId="0" applyFont="1" applyBorder="1" applyAlignment="1">
      <alignment horizontal="left" vertical="center"/>
    </xf>
    <xf numFmtId="0" fontId="11" fillId="0" borderId="1" xfId="0" applyFont="1" applyBorder="1" applyAlignment="1">
      <alignment horizont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4" xfId="0" applyFont="1" applyBorder="1" applyAlignment="1">
      <alignment horizontal="left" vertical="top" wrapText="1"/>
    </xf>
    <xf numFmtId="0" fontId="1" fillId="0" borderId="1" xfId="0" applyFont="1" applyBorder="1" applyAlignment="1">
      <alignment horizontal="left" vertical="top" wrapTex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14" xfId="0"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center"/>
    </xf>
    <xf numFmtId="0" fontId="8" fillId="13" borderId="1" xfId="0" applyFont="1" applyFill="1" applyBorder="1" applyAlignment="1">
      <alignment horizontal="left" vertical="center" wrapText="1"/>
    </xf>
    <xf numFmtId="0" fontId="1" fillId="0" borderId="1" xfId="0" applyFont="1" applyBorder="1" applyAlignment="1">
      <alignment horizontal="left" vertical="center"/>
    </xf>
    <xf numFmtId="0" fontId="8" fillId="13" borderId="1" xfId="0" applyFont="1" applyFill="1" applyBorder="1" applyAlignment="1">
      <alignment horizontal="justify" vertical="center" wrapText="1"/>
    </xf>
    <xf numFmtId="0" fontId="1" fillId="0" borderId="10" xfId="0" applyFont="1" applyBorder="1" applyAlignment="1">
      <alignment horizontal="left" vertical="top" wrapText="1"/>
    </xf>
    <xf numFmtId="0" fontId="1" fillId="0" borderId="8"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7" xfId="0" applyFont="1" applyBorder="1" applyAlignment="1">
      <alignment horizontal="left" vertical="top" wrapText="1"/>
    </xf>
    <xf numFmtId="0" fontId="1" fillId="0" borderId="6" xfId="0" applyFont="1" applyBorder="1" applyAlignment="1">
      <alignment horizontal="left" vertical="top" wrapText="1"/>
    </xf>
    <xf numFmtId="0" fontId="9" fillId="0" borderId="8" xfId="0" applyFont="1" applyBorder="1" applyAlignment="1">
      <alignment horizontal="center" vertical="center"/>
    </xf>
    <xf numFmtId="0" fontId="9" fillId="0" borderId="11" xfId="0" applyFont="1" applyBorder="1" applyAlignment="1">
      <alignment horizontal="center" vertical="center"/>
    </xf>
    <xf numFmtId="0" fontId="9" fillId="0" borderId="0" xfId="0" applyFont="1" applyAlignment="1">
      <alignment horizontal="center" vertical="center"/>
    </xf>
    <xf numFmtId="0" fontId="9" fillId="0" borderId="12" xfId="0" applyFont="1" applyBorder="1" applyAlignment="1">
      <alignment horizontal="center" vertical="center"/>
    </xf>
    <xf numFmtId="0" fontId="9" fillId="0" borderId="7" xfId="0" applyFont="1" applyBorder="1" applyAlignment="1">
      <alignment horizontal="center" vertical="center"/>
    </xf>
    <xf numFmtId="0" fontId="9" fillId="0" borderId="14" xfId="0" applyFont="1" applyBorder="1" applyAlignment="1">
      <alignment horizontal="center" vertical="center"/>
    </xf>
    <xf numFmtId="0" fontId="6" fillId="0" borderId="8" xfId="0" applyFont="1" applyBorder="1" applyAlignment="1">
      <alignment horizontal="left" vertical="top" wrapText="1"/>
    </xf>
    <xf numFmtId="0" fontId="6" fillId="0" borderId="11" xfId="0" applyFont="1" applyBorder="1" applyAlignment="1">
      <alignment horizontal="left" vertical="top" wrapText="1"/>
    </xf>
    <xf numFmtId="0" fontId="6" fillId="0" borderId="0" xfId="0" applyFont="1" applyAlignment="1">
      <alignment horizontal="left" vertical="top" wrapText="1"/>
    </xf>
    <xf numFmtId="0" fontId="6" fillId="0" borderId="12" xfId="0" applyFont="1" applyBorder="1" applyAlignment="1">
      <alignment horizontal="left" vertical="top" wrapText="1"/>
    </xf>
    <xf numFmtId="0" fontId="6" fillId="0" borderId="0" xfId="0" applyFont="1" applyAlignment="1">
      <alignment horizontal="left" vertical="center"/>
    </xf>
    <xf numFmtId="0" fontId="6" fillId="0" borderId="12" xfId="0" applyFont="1" applyBorder="1" applyAlignment="1">
      <alignment horizontal="left" vertical="center"/>
    </xf>
    <xf numFmtId="0" fontId="1" fillId="0" borderId="12" xfId="0" applyFont="1" applyBorder="1" applyAlignment="1">
      <alignment horizontal="left" vertical="top" wrapText="1"/>
    </xf>
    <xf numFmtId="0" fontId="1" fillId="0" borderId="14" xfId="0" applyFont="1" applyBorder="1" applyAlignment="1">
      <alignment horizontal="left" vertical="top" wrapText="1"/>
    </xf>
    <xf numFmtId="0" fontId="9" fillId="0" borderId="10" xfId="0" applyFont="1" applyBorder="1" applyAlignment="1">
      <alignment horizontal="center" vertical="center"/>
    </xf>
    <xf numFmtId="0" fontId="9" fillId="0" borderId="5" xfId="0" applyFont="1" applyBorder="1" applyAlignment="1">
      <alignment horizontal="center" vertical="center"/>
    </xf>
    <xf numFmtId="0" fontId="1" fillId="0" borderId="6" xfId="0" applyFont="1" applyBorder="1" applyAlignment="1">
      <alignment horizontal="left"/>
    </xf>
    <xf numFmtId="0" fontId="1" fillId="0" borderId="14" xfId="0" applyFont="1" applyBorder="1" applyAlignment="1">
      <alignment horizontal="left"/>
    </xf>
    <xf numFmtId="0" fontId="11" fillId="6" borderId="2" xfId="0" applyFont="1" applyFill="1" applyBorder="1" applyAlignment="1">
      <alignment horizontal="left"/>
    </xf>
    <xf numFmtId="0" fontId="11" fillId="6" borderId="3" xfId="0" applyFont="1" applyFill="1" applyBorder="1" applyAlignment="1">
      <alignment horizontal="left"/>
    </xf>
    <xf numFmtId="0" fontId="11" fillId="6" borderId="4" xfId="0" applyFont="1" applyFill="1" applyBorder="1" applyAlignment="1">
      <alignment horizontal="left"/>
    </xf>
    <xf numFmtId="0" fontId="11" fillId="6" borderId="5" xfId="0" applyFont="1" applyFill="1" applyBorder="1" applyAlignment="1">
      <alignment horizontal="center" vertical="center"/>
    </xf>
    <xf numFmtId="0" fontId="11" fillId="6" borderId="0" xfId="0" applyFont="1" applyFill="1" applyAlignment="1">
      <alignment horizontal="center" vertical="center"/>
    </xf>
    <xf numFmtId="0" fontId="9" fillId="6" borderId="10" xfId="0" applyFont="1" applyFill="1" applyBorder="1" applyAlignment="1">
      <alignment horizontal="center" vertical="center"/>
    </xf>
    <xf numFmtId="0" fontId="9" fillId="6" borderId="11" xfId="0" applyFont="1" applyFill="1" applyBorder="1" applyAlignment="1">
      <alignment horizontal="center" vertical="center"/>
    </xf>
    <xf numFmtId="0" fontId="1" fillId="0" borderId="10" xfId="0" applyFont="1" applyBorder="1" applyAlignment="1">
      <alignment horizontal="justify" vertical="top" wrapText="1"/>
    </xf>
    <xf numFmtId="0" fontId="1" fillId="0" borderId="8" xfId="0" applyFont="1" applyBorder="1" applyAlignment="1">
      <alignment horizontal="justify" vertical="top" wrapText="1"/>
    </xf>
    <xf numFmtId="0" fontId="1" fillId="0" borderId="7" xfId="0" applyFont="1" applyBorder="1" applyAlignment="1">
      <alignment horizontal="justify" vertical="top" wrapText="1"/>
    </xf>
    <xf numFmtId="0" fontId="1" fillId="0" borderId="6" xfId="0" applyFont="1" applyBorder="1" applyAlignment="1">
      <alignment horizontal="justify" vertical="top" wrapText="1"/>
    </xf>
    <xf numFmtId="0" fontId="8" fillId="0" borderId="0" xfId="0" applyFont="1" applyAlignment="1">
      <alignment horizontal="left" vertical="center"/>
    </xf>
    <xf numFmtId="0" fontId="8" fillId="0" borderId="12" xfId="0" applyFont="1" applyBorder="1" applyAlignment="1">
      <alignment horizontal="left" vertical="center"/>
    </xf>
    <xf numFmtId="0" fontId="9" fillId="5" borderId="9" xfId="0" applyFont="1" applyFill="1" applyBorder="1" applyAlignment="1">
      <alignment horizontal="left" vertical="center"/>
    </xf>
    <xf numFmtId="0" fontId="9" fillId="5" borderId="15" xfId="0" applyFont="1" applyFill="1" applyBorder="1" applyAlignment="1">
      <alignment horizontal="left" vertical="center"/>
    </xf>
    <xf numFmtId="0" fontId="9" fillId="5" borderId="13" xfId="0" applyFont="1" applyFill="1" applyBorder="1" applyAlignment="1">
      <alignment horizontal="left" vertical="center"/>
    </xf>
    <xf numFmtId="0" fontId="11" fillId="5" borderId="5" xfId="0" applyFont="1" applyFill="1" applyBorder="1" applyAlignment="1">
      <alignment horizontal="center" vertical="center"/>
    </xf>
    <xf numFmtId="0" fontId="11" fillId="5" borderId="0" xfId="0" applyFont="1" applyFill="1" applyAlignment="1">
      <alignment horizontal="center" vertical="center"/>
    </xf>
    <xf numFmtId="0" fontId="9" fillId="5" borderId="10" xfId="0" applyFont="1" applyFill="1" applyBorder="1" applyAlignment="1">
      <alignment horizontal="center" vertical="center"/>
    </xf>
    <xf numFmtId="0" fontId="9" fillId="5" borderId="11" xfId="0" applyFont="1" applyFill="1" applyBorder="1" applyAlignment="1">
      <alignment horizontal="center" vertical="center"/>
    </xf>
    <xf numFmtId="0" fontId="11" fillId="5" borderId="2" xfId="0" applyFont="1" applyFill="1" applyBorder="1" applyAlignment="1">
      <alignment horizontal="left"/>
    </xf>
    <xf numFmtId="0" fontId="11" fillId="5" borderId="3" xfId="0" applyFont="1" applyFill="1" applyBorder="1" applyAlignment="1">
      <alignment horizontal="left"/>
    </xf>
    <xf numFmtId="0" fontId="11" fillId="5" borderId="4" xfId="0" applyFont="1" applyFill="1" applyBorder="1" applyAlignment="1">
      <alignment horizontal="left"/>
    </xf>
    <xf numFmtId="0" fontId="1" fillId="0" borderId="0" xfId="0" applyFont="1" applyAlignment="1">
      <alignment horizontal="left" wrapText="1"/>
    </xf>
    <xf numFmtId="0" fontId="1" fillId="0" borderId="12" xfId="0" applyFont="1" applyBorder="1" applyAlignment="1">
      <alignment horizontal="left" wrapText="1"/>
    </xf>
    <xf numFmtId="0" fontId="8" fillId="0" borderId="0" xfId="0" applyFont="1" applyAlignment="1">
      <alignment horizontal="left" vertical="center" wrapText="1"/>
    </xf>
    <xf numFmtId="0" fontId="8" fillId="0" borderId="12" xfId="0" applyFont="1" applyBorder="1" applyAlignment="1">
      <alignment horizontal="left" vertical="center" wrapText="1"/>
    </xf>
    <xf numFmtId="0" fontId="1" fillId="0" borderId="0" xfId="0" applyFont="1" applyAlignment="1">
      <alignment horizontal="justify" vertical="top" wrapText="1"/>
    </xf>
    <xf numFmtId="0" fontId="1" fillId="0" borderId="1" xfId="0" applyFont="1" applyBorder="1" applyAlignment="1">
      <alignment horizontal="justify" vertical="top" wrapText="1"/>
    </xf>
    <xf numFmtId="0" fontId="1" fillId="0" borderId="2" xfId="0" applyFont="1" applyBorder="1" applyAlignment="1">
      <alignment horizontal="justify" vertical="top" wrapText="1"/>
    </xf>
    <xf numFmtId="0" fontId="11" fillId="6" borderId="2" xfId="0" applyFont="1" applyFill="1" applyBorder="1" applyAlignment="1">
      <alignment horizontal="justify" vertical="top" wrapText="1"/>
    </xf>
    <xf numFmtId="0" fontId="11" fillId="6" borderId="3" xfId="0" applyFont="1" applyFill="1" applyBorder="1" applyAlignment="1">
      <alignment horizontal="justify" vertical="top" wrapText="1"/>
    </xf>
    <xf numFmtId="0" fontId="11" fillId="6" borderId="4" xfId="0" applyFont="1" applyFill="1" applyBorder="1" applyAlignment="1">
      <alignment horizontal="justify" vertical="top" wrapText="1"/>
    </xf>
    <xf numFmtId="0" fontId="1" fillId="0" borderId="8" xfId="0" applyFont="1" applyBorder="1" applyAlignment="1">
      <alignment horizontal="left" wrapText="1"/>
    </xf>
    <xf numFmtId="0" fontId="1" fillId="0" borderId="11" xfId="0" applyFont="1" applyBorder="1" applyAlignment="1">
      <alignment horizontal="left" wrapText="1"/>
    </xf>
    <xf numFmtId="0" fontId="1" fillId="0" borderId="6" xfId="0" applyFont="1" applyBorder="1" applyAlignment="1">
      <alignment horizontal="left" wrapText="1"/>
    </xf>
    <xf numFmtId="0" fontId="1" fillId="0" borderId="14" xfId="0" applyFont="1" applyBorder="1" applyAlignment="1">
      <alignment horizontal="left" wrapText="1"/>
    </xf>
    <xf numFmtId="0" fontId="1" fillId="0" borderId="11" xfId="0" applyFont="1" applyBorder="1" applyAlignment="1">
      <alignment horizontal="left" vertical="top" wrapText="1"/>
    </xf>
    <xf numFmtId="0" fontId="9" fillId="3" borderId="10" xfId="0" applyFont="1" applyFill="1" applyBorder="1" applyAlignment="1">
      <alignment horizontal="center" vertical="center"/>
    </xf>
    <xf numFmtId="0" fontId="9" fillId="3" borderId="11" xfId="0" applyFont="1" applyFill="1" applyBorder="1" applyAlignment="1">
      <alignment horizontal="center" vertical="center"/>
    </xf>
    <xf numFmtId="0" fontId="11" fillId="9" borderId="10" xfId="0" applyFont="1" applyFill="1" applyBorder="1" applyAlignment="1">
      <alignment horizontal="left"/>
    </xf>
    <xf numFmtId="0" fontId="11" fillId="9" borderId="3" xfId="0" applyFont="1" applyFill="1" applyBorder="1" applyAlignment="1">
      <alignment horizontal="left"/>
    </xf>
    <xf numFmtId="0" fontId="11" fillId="9" borderId="4" xfId="0" applyFont="1" applyFill="1" applyBorder="1" applyAlignment="1">
      <alignment horizontal="left"/>
    </xf>
    <xf numFmtId="0" fontId="11" fillId="3" borderId="5" xfId="0" applyFont="1" applyFill="1" applyBorder="1" applyAlignment="1">
      <alignment horizontal="center" vertical="center"/>
    </xf>
    <xf numFmtId="0" fontId="11" fillId="3" borderId="0" xfId="0" applyFont="1" applyFill="1" applyAlignment="1">
      <alignment horizontal="center" vertical="center"/>
    </xf>
    <xf numFmtId="0" fontId="9" fillId="6" borderId="2" xfId="0" applyFont="1" applyFill="1" applyBorder="1" applyAlignment="1">
      <alignment horizontal="center" vertical="center"/>
    </xf>
    <xf numFmtId="0" fontId="9" fillId="6" borderId="4" xfId="0" applyFont="1" applyFill="1" applyBorder="1" applyAlignment="1">
      <alignment horizontal="center" vertical="center"/>
    </xf>
    <xf numFmtId="0" fontId="1" fillId="0" borderId="10" xfId="0" applyFont="1" applyBorder="1" applyAlignment="1">
      <alignment horizontal="left" wrapText="1"/>
    </xf>
    <xf numFmtId="0" fontId="1" fillId="0" borderId="7" xfId="0" applyFont="1" applyBorder="1" applyAlignment="1">
      <alignment horizontal="left" wrapText="1"/>
    </xf>
    <xf numFmtId="0" fontId="11" fillId="0" borderId="5" xfId="0" applyFont="1" applyBorder="1" applyAlignment="1">
      <alignment horizontal="center" vertical="center"/>
    </xf>
    <xf numFmtId="0" fontId="11" fillId="0" borderId="12" xfId="0" applyFont="1" applyBorder="1" applyAlignment="1">
      <alignment horizontal="center" vertical="center"/>
    </xf>
    <xf numFmtId="0" fontId="1" fillId="0" borderId="5" xfId="0" applyFont="1" applyBorder="1" applyAlignment="1">
      <alignment horizontal="justify" vertical="top" wrapText="1"/>
    </xf>
    <xf numFmtId="0" fontId="11" fillId="5" borderId="5" xfId="0" applyFont="1" applyFill="1" applyBorder="1" applyAlignment="1">
      <alignment horizontal="center"/>
    </xf>
    <xf numFmtId="0" fontId="11" fillId="5" borderId="0" xfId="0" applyFont="1" applyFill="1" applyAlignment="1">
      <alignment horizontal="center"/>
    </xf>
    <xf numFmtId="0" fontId="9" fillId="5" borderId="9" xfId="0" applyFont="1" applyFill="1" applyBorder="1" applyAlignment="1">
      <alignment horizontal="center" vertical="center"/>
    </xf>
    <xf numFmtId="0" fontId="11" fillId="6" borderId="5" xfId="0" applyFont="1" applyFill="1" applyBorder="1" applyAlignment="1">
      <alignment horizontal="center"/>
    </xf>
    <xf numFmtId="0" fontId="11" fillId="6" borderId="0" xfId="0" applyFont="1" applyFill="1" applyAlignment="1">
      <alignment horizontal="center"/>
    </xf>
    <xf numFmtId="0" fontId="11" fillId="9" borderId="1" xfId="0" applyFont="1" applyFill="1" applyBorder="1" applyAlignment="1">
      <alignment horizontal="left"/>
    </xf>
    <xf numFmtId="0" fontId="1" fillId="0" borderId="6" xfId="0" applyFont="1" applyBorder="1"/>
    <xf numFmtId="0" fontId="1" fillId="0" borderId="14" xfId="0" applyFont="1" applyBorder="1"/>
    <xf numFmtId="0" fontId="11" fillId="6" borderId="8" xfId="0" applyFont="1" applyFill="1" applyBorder="1" applyAlignment="1">
      <alignment horizontal="left"/>
    </xf>
    <xf numFmtId="0" fontId="11" fillId="6" borderId="11" xfId="0" applyFont="1" applyFill="1" applyBorder="1" applyAlignment="1">
      <alignment horizontal="left"/>
    </xf>
    <xf numFmtId="0" fontId="11" fillId="6" borderId="7" xfId="0" applyFont="1" applyFill="1" applyBorder="1" applyAlignment="1">
      <alignment horizontal="center"/>
    </xf>
    <xf numFmtId="0" fontId="11" fillId="6" borderId="6" xfId="0" applyFont="1" applyFill="1" applyBorder="1" applyAlignment="1">
      <alignment horizontal="center"/>
    </xf>
    <xf numFmtId="0" fontId="9" fillId="6" borderId="1" xfId="0" applyFont="1" applyFill="1" applyBorder="1" applyAlignment="1">
      <alignment horizontal="center" vertical="center"/>
    </xf>
    <xf numFmtId="0" fontId="9" fillId="0" borderId="5" xfId="0" applyFont="1" applyBorder="1" applyAlignment="1">
      <alignment horizontal="left" vertical="center"/>
    </xf>
    <xf numFmtId="0" fontId="1" fillId="0" borderId="11" xfId="0" applyFont="1" applyBorder="1" applyAlignment="1">
      <alignment horizontal="justify" vertical="top" wrapText="1"/>
    </xf>
    <xf numFmtId="0" fontId="1" fillId="0" borderId="12" xfId="0" applyFont="1" applyBorder="1" applyAlignment="1">
      <alignment horizontal="justify" vertical="top" wrapText="1"/>
    </xf>
    <xf numFmtId="0" fontId="1" fillId="0" borderId="14" xfId="0" applyFont="1" applyBorder="1" applyAlignment="1">
      <alignment horizontal="justify" vertical="top" wrapText="1"/>
    </xf>
    <xf numFmtId="0" fontId="1" fillId="0" borderId="10" xfId="0" applyFont="1" applyBorder="1" applyAlignment="1">
      <alignment horizontal="justify" wrapText="1"/>
    </xf>
    <xf numFmtId="0" fontId="1" fillId="0" borderId="8" xfId="0" applyFont="1" applyBorder="1" applyAlignment="1">
      <alignment horizontal="justify" wrapText="1"/>
    </xf>
    <xf numFmtId="0" fontId="1" fillId="0" borderId="11" xfId="0" applyFont="1" applyBorder="1" applyAlignment="1">
      <alignment horizontal="justify" wrapText="1"/>
    </xf>
    <xf numFmtId="0" fontId="1" fillId="0" borderId="7" xfId="0" applyFont="1" applyBorder="1" applyAlignment="1">
      <alignment horizontal="justify" wrapText="1"/>
    </xf>
    <xf numFmtId="0" fontId="1" fillId="0" borderId="6" xfId="0" applyFont="1" applyBorder="1" applyAlignment="1">
      <alignment horizontal="justify" wrapText="1"/>
    </xf>
    <xf numFmtId="0" fontId="1" fillId="0" borderId="14" xfId="0" applyFont="1" applyBorder="1" applyAlignment="1">
      <alignment horizontal="justify" wrapText="1"/>
    </xf>
    <xf numFmtId="0" fontId="11" fillId="6" borderId="2" xfId="0" applyFont="1" applyFill="1" applyBorder="1" applyAlignment="1">
      <alignment horizontal="justify"/>
    </xf>
    <xf numFmtId="0" fontId="11" fillId="6" borderId="3" xfId="0" applyFont="1" applyFill="1" applyBorder="1" applyAlignment="1">
      <alignment horizontal="justify"/>
    </xf>
    <xf numFmtId="0" fontId="11" fillId="6" borderId="4" xfId="0" applyFont="1" applyFill="1" applyBorder="1" applyAlignment="1">
      <alignment horizontal="justify"/>
    </xf>
    <xf numFmtId="0" fontId="8" fillId="0" borderId="0" xfId="0" applyFont="1" applyAlignment="1">
      <alignment horizontal="center" vertical="center"/>
    </xf>
    <xf numFmtId="0" fontId="8" fillId="0" borderId="12" xfId="0" applyFont="1" applyBorder="1" applyAlignment="1">
      <alignment horizontal="center" vertical="center"/>
    </xf>
    <xf numFmtId="0" fontId="1" fillId="11" borderId="0" xfId="0" applyFont="1" applyFill="1" applyAlignment="1">
      <alignment horizontal="justify" vertical="top" wrapText="1"/>
    </xf>
    <xf numFmtId="0" fontId="1" fillId="11" borderId="12" xfId="0" applyFont="1" applyFill="1" applyBorder="1" applyAlignment="1">
      <alignment horizontal="justify" vertical="top" wrapText="1"/>
    </xf>
    <xf numFmtId="0" fontId="1" fillId="11" borderId="6" xfId="0" applyFont="1" applyFill="1" applyBorder="1" applyAlignment="1">
      <alignment horizontal="justify" vertical="top" wrapText="1"/>
    </xf>
    <xf numFmtId="0" fontId="1" fillId="11" borderId="14" xfId="0" applyFont="1" applyFill="1" applyBorder="1" applyAlignment="1">
      <alignment horizontal="justify" vertical="top" wrapText="1"/>
    </xf>
    <xf numFmtId="0" fontId="9" fillId="11" borderId="10" xfId="0" applyFont="1" applyFill="1" applyBorder="1" applyAlignment="1">
      <alignment horizontal="center" vertical="center"/>
    </xf>
    <xf numFmtId="0" fontId="9" fillId="11" borderId="8" xfId="0" applyFont="1" applyFill="1" applyBorder="1" applyAlignment="1">
      <alignment horizontal="center" vertical="center"/>
    </xf>
    <xf numFmtId="0" fontId="9" fillId="11" borderId="11" xfId="0" applyFont="1" applyFill="1" applyBorder="1" applyAlignment="1">
      <alignment horizontal="center" vertical="center"/>
    </xf>
    <xf numFmtId="0" fontId="9" fillId="11" borderId="5" xfId="0" applyFont="1" applyFill="1" applyBorder="1" applyAlignment="1">
      <alignment horizontal="center" vertical="center"/>
    </xf>
    <xf numFmtId="0" fontId="9" fillId="11" borderId="0" xfId="0" applyFont="1" applyFill="1" applyAlignment="1">
      <alignment horizontal="center" vertical="center"/>
    </xf>
    <xf numFmtId="0" fontId="9" fillId="11" borderId="12" xfId="0" applyFont="1" applyFill="1" applyBorder="1" applyAlignment="1">
      <alignment horizontal="center" vertical="center"/>
    </xf>
    <xf numFmtId="0" fontId="9" fillId="11" borderId="7" xfId="0" applyFont="1" applyFill="1" applyBorder="1" applyAlignment="1">
      <alignment horizontal="center" vertical="center"/>
    </xf>
    <xf numFmtId="0" fontId="9" fillId="11" borderId="6" xfId="0" applyFont="1" applyFill="1" applyBorder="1" applyAlignment="1">
      <alignment horizontal="center" vertical="center"/>
    </xf>
    <xf numFmtId="0" fontId="9" fillId="11" borderId="14" xfId="0" applyFont="1" applyFill="1" applyBorder="1" applyAlignment="1">
      <alignment horizontal="center" vertical="center"/>
    </xf>
    <xf numFmtId="0" fontId="1" fillId="0" borderId="2" xfId="0" applyFont="1" applyBorder="1" applyAlignment="1">
      <alignment horizontal="left" vertical="top" wrapText="1"/>
    </xf>
    <xf numFmtId="0" fontId="1" fillId="0" borderId="0" xfId="0" applyFont="1" applyAlignment="1">
      <alignment horizontal="left"/>
    </xf>
    <xf numFmtId="0" fontId="1" fillId="0" borderId="12" xfId="0" applyFont="1" applyBorder="1" applyAlignment="1">
      <alignment horizontal="left"/>
    </xf>
    <xf numFmtId="0" fontId="9" fillId="0" borderId="5" xfId="0" applyFont="1" applyBorder="1" applyAlignment="1">
      <alignment horizontal="center" vertical="center" wrapText="1"/>
    </xf>
    <xf numFmtId="0" fontId="9" fillId="0" borderId="12" xfId="0" applyFont="1" applyBorder="1" applyAlignment="1">
      <alignment horizontal="center" vertical="center"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9" fillId="6" borderId="8" xfId="0" applyFont="1" applyFill="1" applyBorder="1" applyAlignment="1">
      <alignment horizontal="center" vertical="center"/>
    </xf>
    <xf numFmtId="0" fontId="11" fillId="10" borderId="2" xfId="0" applyFont="1" applyFill="1" applyBorder="1" applyAlignment="1">
      <alignment horizontal="center"/>
    </xf>
    <xf numFmtId="0" fontId="11" fillId="10" borderId="3" xfId="0" applyFont="1" applyFill="1" applyBorder="1" applyAlignment="1">
      <alignment horizontal="center"/>
    </xf>
    <xf numFmtId="0" fontId="11" fillId="10" borderId="4" xfId="0" applyFont="1" applyFill="1" applyBorder="1" applyAlignment="1">
      <alignment horizontal="center"/>
    </xf>
    <xf numFmtId="0" fontId="1" fillId="0" borderId="8" xfId="0" applyFont="1" applyBorder="1" applyAlignment="1">
      <alignment horizontal="left" vertical="center" wrapText="1"/>
    </xf>
    <xf numFmtId="0" fontId="1" fillId="0" borderId="11" xfId="0" applyFont="1" applyBorder="1" applyAlignment="1">
      <alignment horizontal="left" vertical="center" wrapText="1"/>
    </xf>
    <xf numFmtId="0" fontId="1" fillId="0" borderId="0" xfId="0" applyFont="1" applyAlignment="1">
      <alignment horizontal="left" vertical="center" wrapText="1"/>
    </xf>
    <xf numFmtId="0" fontId="1" fillId="0" borderId="12" xfId="0" applyFont="1" applyBorder="1" applyAlignment="1">
      <alignment horizontal="left" vertical="center" wrapText="1"/>
    </xf>
    <xf numFmtId="0" fontId="8" fillId="0" borderId="8" xfId="0" applyFont="1" applyBorder="1" applyAlignment="1">
      <alignment horizontal="left" vertical="center"/>
    </xf>
    <xf numFmtId="0" fontId="8" fillId="0" borderId="11" xfId="0" applyFont="1" applyBorder="1" applyAlignment="1">
      <alignment horizontal="left" vertical="center"/>
    </xf>
    <xf numFmtId="0" fontId="11" fillId="6" borderId="10" xfId="0" applyFont="1" applyFill="1" applyBorder="1" applyAlignment="1">
      <alignment horizontal="left" wrapText="1"/>
    </xf>
    <xf numFmtId="0" fontId="11" fillId="6" borderId="3" xfId="0" applyFont="1" applyFill="1" applyBorder="1" applyAlignment="1">
      <alignment horizontal="left" wrapText="1"/>
    </xf>
    <xf numFmtId="0" fontId="11" fillId="6" borderId="4" xfId="0" applyFont="1" applyFill="1" applyBorder="1" applyAlignment="1">
      <alignment horizontal="left" wrapText="1"/>
    </xf>
    <xf numFmtId="0" fontId="11" fillId="6" borderId="2" xfId="0" applyFont="1" applyFill="1" applyBorder="1" applyAlignment="1">
      <alignment horizontal="center"/>
    </xf>
    <xf numFmtId="0" fontId="11" fillId="6" borderId="3" xfId="0" applyFont="1" applyFill="1" applyBorder="1" applyAlignment="1">
      <alignment horizontal="center"/>
    </xf>
    <xf numFmtId="0" fontId="11" fillId="6" borderId="4" xfId="0" applyFont="1" applyFill="1" applyBorder="1" applyAlignment="1">
      <alignment horizontal="center"/>
    </xf>
    <xf numFmtId="0" fontId="1" fillId="11" borderId="10" xfId="0" applyFont="1" applyFill="1" applyBorder="1" applyAlignment="1">
      <alignment horizontal="justify" vertical="top" wrapText="1"/>
    </xf>
    <xf numFmtId="0" fontId="1" fillId="11" borderId="8" xfId="0" applyFont="1" applyFill="1" applyBorder="1" applyAlignment="1">
      <alignment horizontal="justify" vertical="top" wrapText="1"/>
    </xf>
    <xf numFmtId="0" fontId="1" fillId="11" borderId="11" xfId="0" applyFont="1" applyFill="1" applyBorder="1" applyAlignment="1">
      <alignment horizontal="justify" vertical="top" wrapText="1"/>
    </xf>
    <xf numFmtId="0" fontId="11" fillId="6" borderId="2" xfId="0" applyFont="1" applyFill="1" applyBorder="1" applyAlignment="1">
      <alignment horizontal="left" vertical="top"/>
    </xf>
    <xf numFmtId="0" fontId="11" fillId="6" borderId="3" xfId="0" applyFont="1" applyFill="1" applyBorder="1" applyAlignment="1">
      <alignment horizontal="left" vertical="top"/>
    </xf>
    <xf numFmtId="0" fontId="11" fillId="6" borderId="4" xfId="0" applyFont="1" applyFill="1" applyBorder="1" applyAlignment="1">
      <alignment horizontal="left" vertical="top"/>
    </xf>
    <xf numFmtId="0" fontId="1" fillId="0" borderId="1" xfId="0" applyFont="1" applyBorder="1" applyAlignment="1">
      <alignment horizontal="left"/>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12" xfId="0" applyFont="1" applyBorder="1" applyAlignment="1">
      <alignment horizontal="center" vertical="center"/>
    </xf>
    <xf numFmtId="0" fontId="1" fillId="0" borderId="8" xfId="0" applyFont="1" applyBorder="1" applyAlignment="1">
      <alignment horizontal="left"/>
    </xf>
    <xf numFmtId="0" fontId="1" fillId="0" borderId="11" xfId="0" applyFont="1" applyBorder="1" applyAlignment="1">
      <alignment horizontal="left"/>
    </xf>
    <xf numFmtId="0" fontId="1" fillId="0" borderId="1" xfId="0" applyFont="1" applyBorder="1" applyAlignment="1">
      <alignment horizontal="left" wrapText="1"/>
    </xf>
    <xf numFmtId="0" fontId="1" fillId="0" borderId="2" xfId="0" applyFont="1" applyBorder="1" applyAlignment="1">
      <alignment horizontal="left" wrapText="1"/>
    </xf>
    <xf numFmtId="0" fontId="9" fillId="14" borderId="13" xfId="0" applyFont="1" applyFill="1" applyBorder="1" applyAlignment="1">
      <alignment horizontal="center" vertical="center"/>
    </xf>
    <xf numFmtId="0" fontId="1" fillId="0" borderId="8" xfId="0" applyFont="1" applyBorder="1" applyAlignment="1">
      <alignment horizontal="left" vertical="top"/>
    </xf>
    <xf numFmtId="0" fontId="1" fillId="0" borderId="11" xfId="0" applyFont="1" applyBorder="1" applyAlignment="1">
      <alignment horizontal="left" vertical="top"/>
    </xf>
    <xf numFmtId="0" fontId="9" fillId="0" borderId="7" xfId="0" applyFont="1" applyBorder="1" applyAlignment="1">
      <alignment horizontal="center" vertical="center" wrapText="1"/>
    </xf>
    <xf numFmtId="0" fontId="9" fillId="0" borderId="14" xfId="0" applyFont="1" applyBorder="1" applyAlignment="1">
      <alignment horizontal="center" vertical="center" wrapText="1"/>
    </xf>
    <xf numFmtId="0" fontId="1" fillId="0" borderId="1" xfId="0" applyFont="1" applyBorder="1" applyAlignment="1">
      <alignment horizontal="left" vertical="top"/>
    </xf>
    <xf numFmtId="0" fontId="0" fillId="0" borderId="1" xfId="0" applyBorder="1" applyAlignment="1">
      <alignment horizontal="center"/>
    </xf>
    <xf numFmtId="0" fontId="0" fillId="0" borderId="2" xfId="0" applyBorder="1" applyAlignment="1">
      <alignment horizontal="center"/>
    </xf>
    <xf numFmtId="0" fontId="4" fillId="0" borderId="3" xfId="0" applyFont="1" applyBorder="1" applyAlignment="1">
      <alignment horizontal="center" vertical="center"/>
    </xf>
    <xf numFmtId="0" fontId="1" fillId="0" borderId="0" xfId="0" applyFont="1" applyAlignment="1">
      <alignment horizontal="center"/>
    </xf>
    <xf numFmtId="0" fontId="1" fillId="0" borderId="12" xfId="0" applyFont="1" applyBorder="1" applyAlignment="1">
      <alignment horizontal="center"/>
    </xf>
    <xf numFmtId="0" fontId="4" fillId="0" borderId="0" xfId="0" applyFont="1" applyAlignment="1">
      <alignment horizontal="center" vertical="center"/>
    </xf>
    <xf numFmtId="0" fontId="4" fillId="0" borderId="12" xfId="0" applyFont="1" applyBorder="1" applyAlignment="1">
      <alignment horizontal="center" vertical="center"/>
    </xf>
    <xf numFmtId="0" fontId="4" fillId="0" borderId="6" xfId="0" applyFont="1" applyBorder="1" applyAlignment="1">
      <alignment horizontal="center" vertical="center"/>
    </xf>
    <xf numFmtId="0" fontId="4" fillId="0" borderId="14" xfId="0" applyFont="1" applyBorder="1" applyAlignment="1">
      <alignment horizontal="center" vertical="center"/>
    </xf>
    <xf numFmtId="0" fontId="11" fillId="14" borderId="2" xfId="0" applyFont="1" applyFill="1" applyBorder="1" applyAlignment="1">
      <alignment horizontal="justify" wrapText="1"/>
    </xf>
    <xf numFmtId="0" fontId="11" fillId="14" borderId="3" xfId="0" applyFont="1" applyFill="1" applyBorder="1" applyAlignment="1">
      <alignment horizontal="justify" wrapText="1"/>
    </xf>
    <xf numFmtId="0" fontId="11" fillId="14" borderId="4" xfId="0" applyFont="1" applyFill="1" applyBorder="1" applyAlignment="1">
      <alignment horizontal="justify" wrapText="1"/>
    </xf>
    <xf numFmtId="0" fontId="9" fillId="14" borderId="1" xfId="0" applyFont="1" applyFill="1" applyBorder="1" applyAlignment="1">
      <alignment horizontal="center" vertical="center"/>
    </xf>
    <xf numFmtId="0" fontId="11" fillId="14" borderId="1" xfId="0" applyFont="1" applyFill="1" applyBorder="1"/>
    <xf numFmtId="0" fontId="11" fillId="0" borderId="12" xfId="0" applyFont="1" applyBorder="1" applyAlignment="1">
      <alignment horizontal="center"/>
    </xf>
    <xf numFmtId="0" fontId="11" fillId="0" borderId="10" xfId="0" applyFont="1" applyBorder="1" applyAlignment="1">
      <alignment horizontal="center"/>
    </xf>
    <xf numFmtId="0" fontId="11" fillId="0" borderId="11" xfId="0" applyFont="1" applyBorder="1" applyAlignment="1">
      <alignment horizontal="center"/>
    </xf>
    <xf numFmtId="164" fontId="11" fillId="0" borderId="5" xfId="0" applyNumberFormat="1" applyFont="1" applyBorder="1" applyAlignment="1">
      <alignment horizontal="center"/>
    </xf>
    <xf numFmtId="164" fontId="11" fillId="0" borderId="12" xfId="0" applyNumberFormat="1"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3" fillId="0" borderId="5" xfId="0" applyFont="1" applyBorder="1" applyAlignment="1">
      <alignment horizontal="left"/>
    </xf>
    <xf numFmtId="0" fontId="33" fillId="0" borderId="0" xfId="0" applyFont="1" applyAlignment="1">
      <alignment horizontal="left"/>
    </xf>
    <xf numFmtId="0" fontId="33" fillId="0" borderId="12" xfId="0" applyFont="1" applyBorder="1" applyAlignment="1">
      <alignment horizontal="left"/>
    </xf>
    <xf numFmtId="0" fontId="34" fillId="0" borderId="5" xfId="0" applyFont="1" applyBorder="1" applyAlignment="1">
      <alignment horizontal="left" vertical="center" wrapText="1"/>
    </xf>
    <xf numFmtId="0" fontId="34" fillId="0" borderId="0" xfId="0" applyFont="1" applyAlignment="1">
      <alignment horizontal="left" vertical="center" wrapText="1"/>
    </xf>
    <xf numFmtId="0" fontId="34" fillId="0" borderId="12" xfId="0" applyFont="1" applyBorder="1" applyAlignment="1">
      <alignment horizontal="left" vertical="center" wrapText="1"/>
    </xf>
    <xf numFmtId="0" fontId="35" fillId="0" borderId="5" xfId="0" applyFont="1" applyBorder="1" applyAlignment="1">
      <alignment horizontal="left" vertical="center" wrapText="1"/>
    </xf>
    <xf numFmtId="0" fontId="35" fillId="0" borderId="0" xfId="0" applyFont="1" applyAlignment="1">
      <alignment horizontal="left" vertical="center" wrapText="1"/>
    </xf>
    <xf numFmtId="0" fontId="35" fillId="0" borderId="12" xfId="0" applyFont="1" applyBorder="1" applyAlignment="1">
      <alignment horizontal="left" vertical="center" wrapText="1"/>
    </xf>
    <xf numFmtId="0" fontId="35" fillId="0" borderId="7" xfId="0" applyFont="1" applyBorder="1" applyAlignment="1">
      <alignment horizontal="left" vertical="center" wrapText="1"/>
    </xf>
    <xf numFmtId="0" fontId="35" fillId="0" borderId="6" xfId="0" applyFont="1" applyBorder="1" applyAlignment="1">
      <alignment horizontal="left" vertical="center" wrapText="1"/>
    </xf>
    <xf numFmtId="0" fontId="9" fillId="6" borderId="13" xfId="0" applyFont="1" applyFill="1" applyBorder="1" applyAlignment="1">
      <alignment horizontal="center" vertical="center"/>
    </xf>
    <xf numFmtId="0" fontId="11" fillId="5" borderId="1" xfId="0" applyFont="1" applyFill="1" applyBorder="1" applyAlignment="1">
      <alignment horizontal="left"/>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9" fillId="14" borderId="10" xfId="0" applyFont="1" applyFill="1" applyBorder="1" applyAlignment="1">
      <alignment horizontal="center" vertical="center"/>
    </xf>
    <xf numFmtId="0" fontId="9" fillId="14" borderId="11" xfId="0" applyFont="1" applyFill="1" applyBorder="1" applyAlignment="1">
      <alignment horizontal="center" vertical="center"/>
    </xf>
    <xf numFmtId="0" fontId="9" fillId="14" borderId="2" xfId="0" applyFont="1" applyFill="1" applyBorder="1" applyAlignment="1">
      <alignment horizontal="center" vertical="center"/>
    </xf>
    <xf numFmtId="0" fontId="9" fillId="14" borderId="3" xfId="0" applyFont="1" applyFill="1" applyBorder="1" applyAlignment="1">
      <alignment horizontal="center" vertical="center"/>
    </xf>
    <xf numFmtId="0" fontId="9" fillId="14" borderId="4" xfId="0" applyFont="1" applyFill="1" applyBorder="1" applyAlignment="1">
      <alignment horizontal="center" vertical="center"/>
    </xf>
    <xf numFmtId="0" fontId="11" fillId="10" borderId="2" xfId="0" applyFont="1" applyFill="1" applyBorder="1" applyAlignment="1">
      <alignment horizontal="left"/>
    </xf>
    <xf numFmtId="0" fontId="11" fillId="10" borderId="3" xfId="0" applyFont="1" applyFill="1" applyBorder="1" applyAlignment="1">
      <alignment horizontal="left"/>
    </xf>
    <xf numFmtId="0" fontId="11" fillId="10" borderId="4" xfId="0" applyFont="1" applyFill="1" applyBorder="1" applyAlignment="1">
      <alignment horizontal="left"/>
    </xf>
    <xf numFmtId="0" fontId="11" fillId="6" borderId="1" xfId="0" applyFont="1" applyFill="1" applyBorder="1" applyAlignment="1">
      <alignment horizontal="center"/>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11" fillId="6" borderId="2" xfId="0" applyFont="1" applyFill="1" applyBorder="1" applyAlignment="1">
      <alignment horizontal="left" wrapText="1"/>
    </xf>
    <xf numFmtId="0" fontId="11" fillId="0" borderId="0" xfId="0" applyFont="1" applyAlignment="1">
      <alignment horizontal="left"/>
    </xf>
    <xf numFmtId="0" fontId="11" fillId="0" borderId="0" xfId="0" applyFont="1" applyAlignment="1">
      <alignment horizontal="left" wrapText="1"/>
    </xf>
    <xf numFmtId="0" fontId="1" fillId="0" borderId="3" xfId="0" applyFont="1" applyBorder="1" applyAlignment="1">
      <alignment horizontal="justify" vertical="top" wrapText="1"/>
    </xf>
    <xf numFmtId="0" fontId="1" fillId="0" borderId="0" xfId="0" applyFont="1" applyAlignment="1">
      <alignment wrapText="1"/>
    </xf>
    <xf numFmtId="0" fontId="1" fillId="0" borderId="0" xfId="0" applyFont="1" applyAlignment="1">
      <alignment horizontal="center" wrapText="1"/>
    </xf>
    <xf numFmtId="0" fontId="1" fillId="0" borderId="1" xfId="0" applyFont="1" applyBorder="1" applyAlignment="1">
      <alignment horizontal="center"/>
    </xf>
    <xf numFmtId="0" fontId="11" fillId="5" borderId="1" xfId="0" applyFont="1" applyFill="1" applyBorder="1" applyAlignment="1">
      <alignment horizontal="left" vertical="center" wrapText="1"/>
    </xf>
    <xf numFmtId="0" fontId="11" fillId="5" borderId="1" xfId="0" applyFont="1" applyFill="1" applyBorder="1" applyAlignment="1">
      <alignment horizontal="center" vertical="center"/>
    </xf>
    <xf numFmtId="0" fontId="11" fillId="11" borderId="5" xfId="0" applyFont="1" applyFill="1" applyBorder="1" applyAlignment="1">
      <alignment horizontal="center" vertical="center"/>
    </xf>
    <xf numFmtId="0" fontId="11" fillId="11" borderId="0" xfId="0" applyFont="1" applyFill="1" applyAlignment="1">
      <alignment horizontal="center" vertical="center"/>
    </xf>
    <xf numFmtId="0" fontId="1" fillId="11" borderId="10" xfId="0" applyFont="1" applyFill="1" applyBorder="1" applyAlignment="1">
      <alignment vertical="top" wrapText="1"/>
    </xf>
    <xf numFmtId="0" fontId="1" fillId="11" borderId="3" xfId="0" applyFont="1" applyFill="1" applyBorder="1" applyAlignment="1">
      <alignment vertical="top" wrapText="1"/>
    </xf>
    <xf numFmtId="0" fontId="1" fillId="11" borderId="4" xfId="0" applyFont="1" applyFill="1" applyBorder="1" applyAlignment="1">
      <alignment vertical="top" wrapText="1"/>
    </xf>
    <xf numFmtId="0" fontId="11" fillId="5" borderId="8" xfId="0" applyFont="1" applyFill="1" applyBorder="1" applyAlignment="1">
      <alignment horizontal="left"/>
    </xf>
    <xf numFmtId="0" fontId="11" fillId="5" borderId="11" xfId="0" applyFont="1" applyFill="1" applyBorder="1" applyAlignment="1">
      <alignment horizontal="left"/>
    </xf>
    <xf numFmtId="0" fontId="1" fillId="0" borderId="2" xfId="0" applyFont="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11" fillId="9" borderId="1" xfId="0" applyFont="1" applyFill="1" applyBorder="1" applyAlignment="1">
      <alignment horizontal="left" vertical="top" wrapText="1"/>
    </xf>
    <xf numFmtId="0" fontId="1" fillId="11" borderId="2" xfId="0" applyFont="1" applyFill="1" applyBorder="1" applyAlignment="1">
      <alignment horizontal="justify" vertical="top" wrapText="1"/>
    </xf>
    <xf numFmtId="0" fontId="1" fillId="11" borderId="3" xfId="0" applyFont="1" applyFill="1" applyBorder="1" applyAlignment="1">
      <alignment horizontal="justify" vertical="top" wrapText="1"/>
    </xf>
    <xf numFmtId="0" fontId="1" fillId="11" borderId="4" xfId="0" applyFont="1" applyFill="1" applyBorder="1" applyAlignment="1">
      <alignment horizontal="justify" vertical="top" wrapText="1"/>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11" fillId="9" borderId="2" xfId="0" applyFont="1" applyFill="1" applyBorder="1" applyAlignment="1">
      <alignment horizontal="left"/>
    </xf>
    <xf numFmtId="0" fontId="11" fillId="9" borderId="5" xfId="0" applyFont="1" applyFill="1" applyBorder="1" applyAlignment="1">
      <alignment horizontal="center" vertical="center"/>
    </xf>
    <xf numFmtId="0" fontId="11" fillId="9" borderId="0" xfId="0" applyFont="1" applyFill="1" applyAlignment="1">
      <alignment horizontal="center" vertical="center"/>
    </xf>
    <xf numFmtId="0" fontId="9" fillId="9" borderId="10" xfId="0" applyFont="1" applyFill="1" applyBorder="1" applyAlignment="1">
      <alignment horizontal="center" vertical="center"/>
    </xf>
    <xf numFmtId="0" fontId="9" fillId="9" borderId="11" xfId="0" applyFont="1" applyFill="1" applyBorder="1" applyAlignment="1">
      <alignment horizontal="center" vertical="center"/>
    </xf>
    <xf numFmtId="0" fontId="9" fillId="14" borderId="15" xfId="0" applyFont="1" applyFill="1" applyBorder="1" applyAlignment="1">
      <alignment horizontal="center" vertical="center"/>
    </xf>
    <xf numFmtId="0" fontId="9" fillId="14" borderId="9" xfId="0" applyFont="1" applyFill="1" applyBorder="1" applyAlignment="1">
      <alignment horizontal="center" vertic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6" fillId="0" borderId="7" xfId="0" applyFont="1" applyBorder="1" applyAlignment="1">
      <alignment horizontal="center" vertical="center"/>
    </xf>
    <xf numFmtId="0" fontId="16" fillId="0" borderId="6" xfId="0" applyFont="1" applyBorder="1" applyAlignment="1">
      <alignment horizontal="center" vertical="center"/>
    </xf>
    <xf numFmtId="0" fontId="16" fillId="0" borderId="14" xfId="0" applyFont="1" applyBorder="1" applyAlignment="1">
      <alignment horizontal="center" vertical="center"/>
    </xf>
    <xf numFmtId="0" fontId="11" fillId="14" borderId="2" xfId="0" applyFont="1" applyFill="1" applyBorder="1" applyAlignment="1">
      <alignment horizontal="left" vertical="top" wrapText="1"/>
    </xf>
    <xf numFmtId="0" fontId="11" fillId="14" borderId="3" xfId="0" applyFont="1" applyFill="1" applyBorder="1" applyAlignment="1">
      <alignment horizontal="left" vertical="top" wrapText="1"/>
    </xf>
    <xf numFmtId="0" fontId="11" fillId="14" borderId="4" xfId="0" applyFont="1" applyFill="1" applyBorder="1" applyAlignment="1">
      <alignment horizontal="left" vertical="top" wrapText="1"/>
    </xf>
    <xf numFmtId="0" fontId="9" fillId="0" borderId="10" xfId="0" applyFont="1" applyBorder="1" applyAlignment="1">
      <alignment horizontal="center" vertical="top"/>
    </xf>
    <xf numFmtId="0" fontId="9" fillId="0" borderId="11" xfId="0" applyFont="1" applyBorder="1" applyAlignment="1">
      <alignment horizontal="center" vertical="top"/>
    </xf>
    <xf numFmtId="0" fontId="1" fillId="0" borderId="1" xfId="0" applyFont="1" applyBorder="1"/>
    <xf numFmtId="0" fontId="1" fillId="0" borderId="2" xfId="0" applyFont="1" applyBorder="1"/>
    <xf numFmtId="0" fontId="11" fillId="14" borderId="1" xfId="0" applyFont="1" applyFill="1" applyBorder="1" applyAlignment="1">
      <alignment horizontal="left"/>
    </xf>
    <xf numFmtId="0" fontId="11" fillId="14" borderId="2" xfId="0" applyFont="1" applyFill="1" applyBorder="1" applyAlignment="1">
      <alignment horizontal="left"/>
    </xf>
    <xf numFmtId="0" fontId="11" fillId="14" borderId="3" xfId="0" applyFont="1" applyFill="1" applyBorder="1" applyAlignment="1">
      <alignment horizontal="left"/>
    </xf>
    <xf numFmtId="0" fontId="11" fillId="14" borderId="4" xfId="0" applyFont="1" applyFill="1" applyBorder="1" applyAlignment="1">
      <alignment horizontal="left"/>
    </xf>
    <xf numFmtId="0" fontId="9" fillId="14" borderId="8" xfId="0" applyFont="1" applyFill="1" applyBorder="1" applyAlignment="1">
      <alignment horizontal="center" vertical="center"/>
    </xf>
    <xf numFmtId="0" fontId="11" fillId="6" borderId="1" xfId="0" applyFont="1" applyFill="1" applyBorder="1" applyAlignment="1">
      <alignment horizontal="left"/>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1" fillId="0" borderId="0" xfId="0" applyFont="1" applyAlignment="1">
      <alignment horizontal="left" vertical="top" wrapText="1"/>
    </xf>
    <xf numFmtId="0" fontId="1" fillId="0" borderId="17" xfId="0" applyFont="1" applyBorder="1" applyAlignment="1">
      <alignment horizontal="left" vertical="center"/>
    </xf>
    <xf numFmtId="0" fontId="1" fillId="0" borderId="3" xfId="0" applyFont="1" applyBorder="1" applyAlignment="1">
      <alignment horizontal="left" vertical="top" wrapText="1"/>
    </xf>
    <xf numFmtId="0" fontId="1"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1" fillId="11" borderId="4" xfId="0" applyFont="1" applyFill="1" applyBorder="1" applyAlignment="1">
      <alignment horizontal="left" vertical="top" wrapText="1"/>
    </xf>
    <xf numFmtId="0" fontId="1" fillId="11" borderId="8" xfId="0" applyFont="1" applyFill="1" applyBorder="1" applyAlignment="1">
      <alignment horizontal="left" vertical="top" wrapText="1"/>
    </xf>
    <xf numFmtId="0" fontId="1" fillId="11" borderId="11" xfId="0" applyFont="1" applyFill="1" applyBorder="1" applyAlignment="1">
      <alignment horizontal="left" vertical="top" wrapText="1"/>
    </xf>
    <xf numFmtId="0" fontId="1" fillId="11" borderId="0" xfId="0" applyFont="1" applyFill="1" applyAlignment="1">
      <alignment horizontal="left" vertical="top" wrapText="1"/>
    </xf>
    <xf numFmtId="0" fontId="1" fillId="11" borderId="12" xfId="0" applyFont="1" applyFill="1" applyBorder="1" applyAlignment="1">
      <alignment horizontal="left" vertical="top" wrapText="1"/>
    </xf>
    <xf numFmtId="0" fontId="9" fillId="14" borderId="7" xfId="0" applyFont="1" applyFill="1" applyBorder="1" applyAlignment="1">
      <alignment horizontal="center" vertical="center"/>
    </xf>
    <xf numFmtId="0" fontId="9" fillId="14" borderId="6" xfId="0" applyFont="1" applyFill="1" applyBorder="1" applyAlignment="1">
      <alignment horizontal="center" vertical="center"/>
    </xf>
    <xf numFmtId="0" fontId="9" fillId="14" borderId="14" xfId="0" applyFont="1" applyFill="1" applyBorder="1" applyAlignment="1">
      <alignment horizontal="center" vertical="center"/>
    </xf>
    <xf numFmtId="0" fontId="1" fillId="0" borderId="1" xfId="0" applyFont="1" applyBorder="1" applyAlignment="1">
      <alignment horizontal="center" vertical="top" wrapText="1"/>
    </xf>
    <xf numFmtId="0" fontId="11" fillId="11" borderId="1" xfId="0" applyFont="1" applyFill="1" applyBorder="1" applyAlignment="1">
      <alignment horizontal="left"/>
    </xf>
    <xf numFmtId="0" fontId="11" fillId="5" borderId="10" xfId="0" applyFont="1" applyFill="1" applyBorder="1" applyAlignment="1">
      <alignment horizontal="left"/>
    </xf>
    <xf numFmtId="0" fontId="11" fillId="6" borderId="9" xfId="0" applyFont="1" applyFill="1" applyBorder="1" applyAlignment="1">
      <alignment horizontal="left"/>
    </xf>
    <xf numFmtId="0" fontId="1" fillId="0" borderId="13" xfId="0" applyFont="1" applyBorder="1" applyAlignment="1">
      <alignment horizontal="left" vertical="top" wrapText="1"/>
    </xf>
    <xf numFmtId="0" fontId="8" fillId="0" borderId="0" xfId="0" applyFont="1" applyAlignment="1">
      <alignment horizontal="left" vertical="top"/>
    </xf>
    <xf numFmtId="0" fontId="8" fillId="0" borderId="12" xfId="0" applyFont="1" applyBorder="1" applyAlignment="1">
      <alignment horizontal="left" vertical="top"/>
    </xf>
    <xf numFmtId="0" fontId="8" fillId="0" borderId="8" xfId="0" applyFont="1" applyBorder="1" applyAlignment="1">
      <alignment horizontal="left" vertical="top"/>
    </xf>
    <xf numFmtId="0" fontId="8" fillId="0" borderId="11" xfId="0" applyFont="1" applyBorder="1" applyAlignment="1">
      <alignment horizontal="left" vertical="top"/>
    </xf>
    <xf numFmtId="0" fontId="1" fillId="0" borderId="4" xfId="0" applyFont="1" applyBorder="1" applyAlignment="1">
      <alignment horizontal="justify" vertical="top" wrapText="1"/>
    </xf>
    <xf numFmtId="0" fontId="1" fillId="0" borderId="9" xfId="0" applyFont="1" applyBorder="1" applyAlignment="1">
      <alignment horizontal="justify" vertical="top" wrapText="1"/>
    </xf>
    <xf numFmtId="0" fontId="11" fillId="6" borderId="10" xfId="0" applyFont="1" applyFill="1" applyBorder="1" applyAlignment="1">
      <alignment horizontal="left"/>
    </xf>
    <xf numFmtId="0" fontId="1" fillId="11" borderId="7" xfId="0" applyFont="1" applyFill="1" applyBorder="1" applyAlignment="1">
      <alignment horizontal="left" vertical="top" wrapText="1"/>
    </xf>
    <xf numFmtId="0" fontId="11" fillId="5" borderId="7" xfId="0" applyFont="1" applyFill="1" applyBorder="1" applyAlignment="1">
      <alignment horizontal="left"/>
    </xf>
    <xf numFmtId="0" fontId="1" fillId="0" borderId="7" xfId="0" applyFont="1" applyBorder="1" applyAlignment="1">
      <alignment horizontal="center"/>
    </xf>
    <xf numFmtId="0" fontId="1" fillId="0" borderId="6" xfId="0" applyFont="1" applyBorder="1" applyAlignment="1">
      <alignment horizontal="center"/>
    </xf>
    <xf numFmtId="0" fontId="1" fillId="0" borderId="14" xfId="0" applyFont="1" applyBorder="1" applyAlignment="1">
      <alignment horizontal="center"/>
    </xf>
    <xf numFmtId="0" fontId="9" fillId="5" borderId="2" xfId="0" applyFont="1" applyFill="1" applyBorder="1" applyAlignment="1">
      <alignment horizontal="center" vertical="center"/>
    </xf>
    <xf numFmtId="0" fontId="9" fillId="5" borderId="4" xfId="0" applyFont="1" applyFill="1" applyBorder="1" applyAlignment="1">
      <alignment horizontal="center" vertical="center"/>
    </xf>
    <xf numFmtId="0" fontId="17" fillId="9" borderId="1" xfId="0" applyFont="1" applyFill="1" applyBorder="1" applyAlignment="1">
      <alignment horizontal="left" vertical="top"/>
    </xf>
    <xf numFmtId="0" fontId="11" fillId="5" borderId="1" xfId="0" applyFont="1" applyFill="1" applyBorder="1" applyAlignment="1">
      <alignment horizontal="left" wrapText="1"/>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4" xfId="0" applyFont="1" applyFill="1" applyBorder="1" applyAlignment="1">
      <alignment horizontal="center" vertical="center"/>
    </xf>
    <xf numFmtId="0" fontId="11" fillId="5" borderId="2" xfId="0" applyFont="1" applyFill="1" applyBorder="1" applyAlignment="1">
      <alignment horizontal="left" vertical="center"/>
    </xf>
    <xf numFmtId="0" fontId="11" fillId="5" borderId="3" xfId="0" applyFont="1" applyFill="1" applyBorder="1" applyAlignment="1">
      <alignment horizontal="left" vertical="center"/>
    </xf>
    <xf numFmtId="0" fontId="11" fillId="5" borderId="4" xfId="0" applyFont="1" applyFill="1" applyBorder="1" applyAlignment="1">
      <alignment horizontal="left" vertical="center"/>
    </xf>
    <xf numFmtId="0" fontId="1" fillId="0" borderId="1" xfId="0" applyFont="1" applyBorder="1" applyAlignment="1">
      <alignment horizontal="justify" vertical="center"/>
    </xf>
    <xf numFmtId="0" fontId="11" fillId="3" borderId="1" xfId="0" applyFont="1" applyFill="1" applyBorder="1" applyAlignment="1">
      <alignment horizontal="left"/>
    </xf>
    <xf numFmtId="0" fontId="1" fillId="0" borderId="0" xfId="0" applyFont="1" applyAlignment="1">
      <alignment horizontal="center" vertical="center"/>
    </xf>
    <xf numFmtId="0" fontId="1" fillId="0" borderId="12" xfId="0" applyFont="1" applyBorder="1" applyAlignment="1">
      <alignment horizontal="center" vertical="center"/>
    </xf>
    <xf numFmtId="0" fontId="1" fillId="0" borderId="1" xfId="0" applyFont="1" applyBorder="1" applyAlignment="1">
      <alignment horizontal="justify" vertical="justify" wrapText="1"/>
    </xf>
    <xf numFmtId="0" fontId="1" fillId="0" borderId="2" xfId="0" applyFont="1" applyBorder="1" applyAlignment="1">
      <alignment horizontal="justify" vertical="justify" wrapText="1"/>
    </xf>
    <xf numFmtId="0" fontId="1" fillId="0" borderId="5" xfId="0" applyFont="1" applyBorder="1" applyAlignment="1">
      <alignment horizontal="center"/>
    </xf>
    <xf numFmtId="0" fontId="1" fillId="0" borderId="8" xfId="0" applyFont="1" applyBorder="1" applyAlignment="1">
      <alignment horizontal="left" vertical="center"/>
    </xf>
    <xf numFmtId="0" fontId="1" fillId="0" borderId="11" xfId="0" applyFont="1" applyBorder="1" applyAlignment="1">
      <alignment horizontal="left" vertical="center"/>
    </xf>
    <xf numFmtId="0" fontId="1" fillId="0" borderId="6" xfId="0" applyFont="1" applyBorder="1" applyAlignment="1">
      <alignment horizontal="left" vertical="center"/>
    </xf>
    <xf numFmtId="0" fontId="1" fillId="0" borderId="14" xfId="0" applyFont="1" applyBorder="1" applyAlignment="1">
      <alignment horizontal="left" vertical="center"/>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center" wrapText="1"/>
    </xf>
    <xf numFmtId="0" fontId="8" fillId="0" borderId="5" xfId="0" applyFont="1" applyBorder="1" applyAlignment="1">
      <alignment horizontal="justify" vertical="top" wrapText="1"/>
    </xf>
    <xf numFmtId="0" fontId="8" fillId="0" borderId="0" xfId="0" applyFont="1" applyAlignment="1">
      <alignment horizontal="justify" vertical="top" wrapText="1"/>
    </xf>
    <xf numFmtId="0" fontId="8" fillId="0" borderId="12" xfId="0" applyFont="1" applyBorder="1" applyAlignment="1">
      <alignment horizontal="justify" vertical="top" wrapText="1"/>
    </xf>
    <xf numFmtId="0" fontId="15" fillId="0" borderId="1" xfId="0" applyFont="1"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30" fillId="0" borderId="1" xfId="0" applyFont="1" applyBorder="1" applyAlignment="1">
      <alignment horizontal="left" vertical="center"/>
    </xf>
    <xf numFmtId="0" fontId="4" fillId="6" borderId="7" xfId="0" applyFont="1" applyFill="1" applyBorder="1" applyAlignment="1">
      <alignment horizontal="right"/>
    </xf>
    <xf numFmtId="0" fontId="4" fillId="6" borderId="6" xfId="0" applyFont="1" applyFill="1" applyBorder="1" applyAlignment="1">
      <alignment horizontal="right"/>
    </xf>
    <xf numFmtId="0" fontId="4" fillId="6" borderId="14" xfId="0" applyFont="1" applyFill="1" applyBorder="1" applyAlignment="1">
      <alignment horizontal="right"/>
    </xf>
    <xf numFmtId="0" fontId="8" fillId="0" borderId="2" xfId="0" applyFont="1" applyBorder="1" applyAlignment="1">
      <alignment horizontal="left"/>
    </xf>
    <xf numFmtId="0" fontId="8" fillId="0" borderId="3" xfId="0" applyFont="1" applyBorder="1" applyAlignment="1">
      <alignment horizontal="left"/>
    </xf>
    <xf numFmtId="0" fontId="8" fillId="0" borderId="4" xfId="0" applyFont="1" applyBorder="1" applyAlignment="1">
      <alignment horizontal="left"/>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2" xfId="0" applyFont="1" applyFill="1" applyBorder="1" applyAlignment="1">
      <alignment horizontal="left" vertical="center"/>
    </xf>
    <xf numFmtId="0" fontId="3" fillId="3" borderId="3" xfId="0" applyFont="1" applyFill="1" applyBorder="1" applyAlignment="1">
      <alignment horizontal="left" vertical="center"/>
    </xf>
    <xf numFmtId="0" fontId="3" fillId="3" borderId="10" xfId="0" applyFont="1" applyFill="1" applyBorder="1" applyAlignment="1">
      <alignment horizontal="center"/>
    </xf>
    <xf numFmtId="0" fontId="3" fillId="3" borderId="8" xfId="0" applyFont="1" applyFill="1" applyBorder="1" applyAlignment="1">
      <alignment horizontal="center"/>
    </xf>
    <xf numFmtId="0" fontId="7" fillId="0" borderId="1" xfId="0" applyFont="1" applyBorder="1" applyAlignment="1">
      <alignment horizontal="left"/>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3" fillId="3" borderId="6" xfId="0" applyFont="1" applyFill="1" applyBorder="1" applyAlignment="1">
      <alignment horizontal="center"/>
    </xf>
    <xf numFmtId="0" fontId="3" fillId="3" borderId="14" xfId="0" applyFont="1" applyFill="1" applyBorder="1" applyAlignment="1">
      <alignment horizontal="center"/>
    </xf>
    <xf numFmtId="0" fontId="3" fillId="3" borderId="1" xfId="0" applyFont="1" applyFill="1" applyBorder="1" applyAlignment="1">
      <alignment horizontal="center"/>
    </xf>
    <xf numFmtId="0" fontId="1" fillId="0" borderId="3" xfId="0" applyFont="1" applyBorder="1" applyAlignment="1">
      <alignment horizontal="left"/>
    </xf>
    <xf numFmtId="0" fontId="1" fillId="0" borderId="4" xfId="0" applyFont="1" applyBorder="1" applyAlignment="1">
      <alignment horizontal="left"/>
    </xf>
    <xf numFmtId="0" fontId="3" fillId="3" borderId="7" xfId="0" applyFont="1" applyFill="1" applyBorder="1" applyAlignment="1">
      <alignment horizontal="left"/>
    </xf>
    <xf numFmtId="0" fontId="3" fillId="3" borderId="6" xfId="0" applyFont="1" applyFill="1" applyBorder="1" applyAlignment="1">
      <alignment horizontal="left"/>
    </xf>
    <xf numFmtId="0" fontId="3" fillId="3" borderId="4" xfId="0" applyFont="1" applyFill="1" applyBorder="1" applyAlignment="1">
      <alignment horizontal="left"/>
    </xf>
    <xf numFmtId="0" fontId="3" fillId="3" borderId="1" xfId="0" applyFont="1" applyFill="1" applyBorder="1" applyAlignment="1">
      <alignment horizontal="left" vertical="center"/>
    </xf>
    <xf numFmtId="0" fontId="8" fillId="0" borderId="1" xfId="0" applyFont="1" applyBorder="1" applyAlignment="1">
      <alignment horizontal="left"/>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6" borderId="2" xfId="0" applyFont="1" applyFill="1" applyBorder="1" applyAlignment="1">
      <alignment horizontal="center"/>
    </xf>
    <xf numFmtId="0" fontId="4" fillId="6" borderId="3" xfId="0" applyFont="1" applyFill="1" applyBorder="1" applyAlignment="1">
      <alignment horizontal="center"/>
    </xf>
    <xf numFmtId="0" fontId="4" fillId="6" borderId="4" xfId="0" applyFont="1" applyFill="1" applyBorder="1" applyAlignment="1">
      <alignment horizontal="center"/>
    </xf>
    <xf numFmtId="0" fontId="4" fillId="6" borderId="1" xfId="0" applyFont="1" applyFill="1" applyBorder="1" applyAlignment="1">
      <alignment horizontal="right"/>
    </xf>
    <xf numFmtId="0" fontId="11" fillId="11" borderId="1" xfId="0" applyFont="1" applyFill="1" applyBorder="1" applyAlignment="1">
      <alignment horizontal="center"/>
    </xf>
    <xf numFmtId="0" fontId="11" fillId="11" borderId="3" xfId="0" applyFont="1" applyFill="1" applyBorder="1" applyAlignment="1">
      <alignment horizontal="center"/>
    </xf>
    <xf numFmtId="0" fontId="15" fillId="0" borderId="1" xfId="0" applyFont="1" applyBorder="1" applyAlignment="1">
      <alignment horizontal="center" vertical="center"/>
    </xf>
    <xf numFmtId="0" fontId="0" fillId="0" borderId="1" xfId="0" applyBorder="1" applyAlignment="1">
      <alignment horizontal="center" vertical="center"/>
    </xf>
    <xf numFmtId="0" fontId="5" fillId="11" borderId="5"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12" xfId="0" applyFont="1" applyFill="1" applyBorder="1" applyAlignment="1">
      <alignment horizontal="left" vertical="center" wrapText="1"/>
    </xf>
    <xf numFmtId="0" fontId="11" fillId="0" borderId="1" xfId="0" applyFont="1" applyBorder="1" applyAlignment="1">
      <alignment horizontal="left"/>
    </xf>
    <xf numFmtId="164" fontId="11" fillId="11" borderId="2" xfId="0" applyNumberFormat="1" applyFont="1" applyFill="1" applyBorder="1" applyAlignment="1">
      <alignment horizontal="center" vertical="center"/>
    </xf>
    <xf numFmtId="164" fontId="11" fillId="11" borderId="4" xfId="0" applyNumberFormat="1" applyFont="1" applyFill="1" applyBorder="1" applyAlignment="1">
      <alignment horizontal="center" vertical="center"/>
    </xf>
    <xf numFmtId="0" fontId="0" fillId="0" borderId="7" xfId="0" applyBorder="1" applyAlignment="1">
      <alignment horizontal="center"/>
    </xf>
    <xf numFmtId="0" fontId="0" fillId="0" borderId="6" xfId="0" applyBorder="1" applyAlignment="1">
      <alignment horizontal="center"/>
    </xf>
    <xf numFmtId="0" fontId="11" fillId="10" borderId="10" xfId="0" applyFont="1" applyFill="1" applyBorder="1" applyAlignment="1">
      <alignment horizontal="left" vertical="top" wrapText="1"/>
    </xf>
    <xf numFmtId="0" fontId="11" fillId="10" borderId="8" xfId="0" applyFont="1" applyFill="1" applyBorder="1" applyAlignment="1">
      <alignment horizontal="left" vertical="top" wrapText="1"/>
    </xf>
    <xf numFmtId="0" fontId="11" fillId="10" borderId="11" xfId="0" applyFont="1" applyFill="1" applyBorder="1" applyAlignment="1">
      <alignment horizontal="left" vertical="top" wrapText="1"/>
    </xf>
    <xf numFmtId="0" fontId="8" fillId="0" borderId="3" xfId="0" applyFont="1" applyBorder="1" applyAlignment="1">
      <alignment horizontal="justify" vertical="top" wrapText="1"/>
    </xf>
    <xf numFmtId="0" fontId="11" fillId="11" borderId="2" xfId="0" applyFont="1" applyFill="1" applyBorder="1" applyAlignment="1">
      <alignment horizontal="center"/>
    </xf>
    <xf numFmtId="0" fontId="11" fillId="11" borderId="4" xfId="0" applyFont="1" applyFill="1" applyBorder="1" applyAlignment="1">
      <alignment horizontal="center"/>
    </xf>
    <xf numFmtId="0" fontId="30" fillId="0" borderId="2" xfId="0" applyFont="1" applyBorder="1" applyAlignment="1">
      <alignment horizontal="left" vertical="center"/>
    </xf>
    <xf numFmtId="0" fontId="30" fillId="0" borderId="3" xfId="0" applyFont="1" applyBorder="1" applyAlignment="1">
      <alignment horizontal="left" vertical="center"/>
    </xf>
    <xf numFmtId="0" fontId="30" fillId="0" borderId="4" xfId="0" applyFont="1" applyBorder="1" applyAlignment="1">
      <alignment horizontal="left" vertical="center"/>
    </xf>
    <xf numFmtId="0" fontId="11" fillId="5" borderId="2" xfId="0" applyFont="1" applyFill="1" applyBorder="1" applyAlignment="1">
      <alignment horizontal="right"/>
    </xf>
    <xf numFmtId="0" fontId="11" fillId="5" borderId="3" xfId="0" applyFont="1" applyFill="1" applyBorder="1" applyAlignment="1">
      <alignment horizontal="right"/>
    </xf>
    <xf numFmtId="0" fontId="11" fillId="5" borderId="4" xfId="0" applyFont="1" applyFill="1" applyBorder="1" applyAlignment="1">
      <alignment horizontal="right"/>
    </xf>
    <xf numFmtId="0" fontId="4" fillId="6" borderId="1" xfId="0" applyFont="1" applyFill="1" applyBorder="1" applyAlignment="1">
      <alignment horizontal="center"/>
    </xf>
    <xf numFmtId="0" fontId="3" fillId="0" borderId="1" xfId="0" applyFont="1" applyBorder="1" applyAlignment="1">
      <alignment horizontal="left" vertical="center"/>
    </xf>
    <xf numFmtId="1" fontId="11" fillId="11" borderId="2" xfId="0" applyNumberFormat="1" applyFont="1" applyFill="1" applyBorder="1" applyAlignment="1">
      <alignment horizontal="center" vertical="center"/>
    </xf>
    <xf numFmtId="1" fontId="11" fillId="11" borderId="4" xfId="0" applyNumberFormat="1" applyFont="1" applyFill="1" applyBorder="1" applyAlignment="1">
      <alignment horizontal="center" vertical="center"/>
    </xf>
    <xf numFmtId="1" fontId="11" fillId="11" borderId="10" xfId="0" applyNumberFormat="1" applyFont="1" applyFill="1" applyBorder="1" applyAlignment="1">
      <alignment horizontal="center" vertical="center"/>
    </xf>
    <xf numFmtId="1" fontId="11" fillId="11" borderId="11" xfId="0" applyNumberFormat="1" applyFont="1" applyFill="1" applyBorder="1" applyAlignment="1">
      <alignment horizontal="center" vertical="center"/>
    </xf>
    <xf numFmtId="9" fontId="15" fillId="0" borderId="1" xfId="0" applyNumberFormat="1" applyFont="1" applyBorder="1" applyAlignment="1">
      <alignment horizontal="left" vertical="top"/>
    </xf>
    <xf numFmtId="9" fontId="15" fillId="0" borderId="9" xfId="0" applyNumberFormat="1" applyFont="1" applyBorder="1" applyAlignment="1">
      <alignment horizontal="left" vertical="top"/>
    </xf>
    <xf numFmtId="9" fontId="11" fillId="11" borderId="2" xfId="0" applyNumberFormat="1" applyFont="1" applyFill="1" applyBorder="1" applyAlignment="1">
      <alignment horizontal="center" vertical="center"/>
    </xf>
    <xf numFmtId="9" fontId="11" fillId="11" borderId="3" xfId="0" applyNumberFormat="1" applyFont="1" applyFill="1" applyBorder="1" applyAlignment="1">
      <alignment horizontal="center" vertical="center"/>
    </xf>
    <xf numFmtId="9" fontId="11" fillId="11" borderId="4" xfId="0" applyNumberFormat="1" applyFont="1" applyFill="1" applyBorder="1" applyAlignment="1">
      <alignment horizontal="center" vertical="center"/>
    </xf>
    <xf numFmtId="0" fontId="11" fillId="0" borderId="2" xfId="0" applyFont="1" applyBorder="1" applyAlignment="1">
      <alignment horizontal="left"/>
    </xf>
    <xf numFmtId="0" fontId="11" fillId="0" borderId="3" xfId="0" applyFont="1" applyBorder="1" applyAlignment="1">
      <alignment horizontal="left"/>
    </xf>
    <xf numFmtId="0" fontId="11" fillId="0" borderId="4" xfId="0" applyFont="1" applyBorder="1" applyAlignment="1">
      <alignment horizontal="left"/>
    </xf>
    <xf numFmtId="0" fontId="11" fillId="10" borderId="10" xfId="0" applyFont="1" applyFill="1" applyBorder="1" applyAlignment="1">
      <alignment horizontal="left"/>
    </xf>
    <xf numFmtId="0" fontId="11" fillId="10" borderId="8" xfId="0" applyFont="1" applyFill="1" applyBorder="1" applyAlignment="1">
      <alignment horizontal="left"/>
    </xf>
    <xf numFmtId="0" fontId="38" fillId="0" borderId="1" xfId="0" applyFont="1" applyBorder="1" applyAlignment="1">
      <alignment horizontal="center"/>
    </xf>
    <xf numFmtId="0" fontId="4" fillId="0" borderId="1" xfId="0" applyFont="1" applyBorder="1" applyAlignment="1">
      <alignment horizontal="center"/>
    </xf>
    <xf numFmtId="49" fontId="7" fillId="0" borderId="1" xfId="0" applyNumberFormat="1" applyFont="1" applyBorder="1" applyAlignment="1">
      <alignment horizontal="left" vertical="center"/>
    </xf>
    <xf numFmtId="14"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4" fillId="0" borderId="1" xfId="0" applyFont="1" applyBorder="1" applyAlignment="1">
      <alignment horizontal="left" vertical="center"/>
    </xf>
    <xf numFmtId="0" fontId="7" fillId="0" borderId="1" xfId="0" applyFont="1" applyBorder="1" applyAlignment="1">
      <alignment horizontal="left" vertical="top"/>
    </xf>
    <xf numFmtId="0" fontId="3" fillId="3" borderId="1" xfId="0" applyFont="1" applyFill="1" applyBorder="1" applyAlignment="1">
      <alignment horizontal="left"/>
    </xf>
    <xf numFmtId="0" fontId="36" fillId="0" borderId="1" xfId="1" applyFill="1" applyBorder="1" applyAlignment="1">
      <alignment horizontal="left" vertical="center"/>
    </xf>
    <xf numFmtId="0" fontId="3" fillId="3" borderId="1" xfId="0" applyFont="1" applyFill="1" applyBorder="1" applyAlignment="1">
      <alignment horizontal="center" vertical="center"/>
    </xf>
    <xf numFmtId="0" fontId="0" fillId="0" borderId="1" xfId="0" applyBorder="1" applyAlignment="1">
      <alignment horizontal="left"/>
    </xf>
    <xf numFmtId="0" fontId="1" fillId="11" borderId="2" xfId="0" applyFont="1" applyFill="1" applyBorder="1" applyAlignment="1">
      <alignment horizontal="center"/>
    </xf>
    <xf numFmtId="0" fontId="1" fillId="11" borderId="3" xfId="0" applyFont="1" applyFill="1" applyBorder="1" applyAlignment="1">
      <alignment horizontal="center"/>
    </xf>
    <xf numFmtId="0" fontId="1" fillId="11" borderId="4" xfId="0" applyFont="1" applyFill="1" applyBorder="1" applyAlignment="1">
      <alignment horizontal="center"/>
    </xf>
    <xf numFmtId="2" fontId="27" fillId="11" borderId="5" xfId="0" applyNumberFormat="1" applyFont="1" applyFill="1" applyBorder="1" applyAlignment="1">
      <alignment horizontal="center" vertical="center"/>
    </xf>
    <xf numFmtId="2" fontId="27" fillId="11" borderId="0" xfId="0" applyNumberFormat="1" applyFont="1" applyFill="1" applyAlignment="1">
      <alignment horizontal="center" vertical="center"/>
    </xf>
    <xf numFmtId="2" fontId="27" fillId="11" borderId="12" xfId="0" applyNumberFormat="1" applyFont="1" applyFill="1" applyBorder="1" applyAlignment="1">
      <alignment horizontal="center" vertical="center"/>
    </xf>
    <xf numFmtId="0" fontId="13" fillId="12" borderId="2"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3" fillId="12" borderId="4"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4" fillId="11" borderId="5" xfId="0" applyFont="1" applyFill="1" applyBorder="1" applyAlignment="1">
      <alignment horizontal="center" vertical="center"/>
    </xf>
    <xf numFmtId="0" fontId="4" fillId="11" borderId="0" xfId="0" applyFont="1" applyFill="1" applyAlignment="1">
      <alignment horizontal="center" vertical="center"/>
    </xf>
    <xf numFmtId="0" fontId="4" fillId="11" borderId="5" xfId="0" applyFont="1" applyFill="1" applyBorder="1" applyAlignment="1">
      <alignment horizontal="center" vertical="center" wrapText="1"/>
    </xf>
    <xf numFmtId="0" fontId="4" fillId="11" borderId="0" xfId="0" applyFont="1" applyFill="1" applyAlignment="1">
      <alignment horizontal="center" vertical="center" wrapText="1"/>
    </xf>
    <xf numFmtId="0" fontId="13" fillId="12" borderId="3" xfId="0" applyFont="1" applyFill="1" applyBorder="1" applyAlignment="1">
      <alignment horizontal="center" vertical="center"/>
    </xf>
    <xf numFmtId="0" fontId="13" fillId="12" borderId="4" xfId="0" applyFont="1" applyFill="1" applyBorder="1" applyAlignment="1">
      <alignment horizontal="center" vertical="center"/>
    </xf>
    <xf numFmtId="0" fontId="4" fillId="11" borderId="10" xfId="0" applyFont="1" applyFill="1" applyBorder="1" applyAlignment="1">
      <alignment horizontal="center" vertical="center" wrapText="1"/>
    </xf>
    <xf numFmtId="0" fontId="4" fillId="11" borderId="8" xfId="0" applyFont="1" applyFill="1" applyBorder="1" applyAlignment="1">
      <alignment horizontal="center" vertical="center" wrapText="1"/>
    </xf>
    <xf numFmtId="0" fontId="4" fillId="11" borderId="11"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3" fillId="3" borderId="2" xfId="0" applyFont="1" applyFill="1" applyBorder="1" applyAlignment="1">
      <alignment horizontal="center" vertical="top"/>
    </xf>
    <xf numFmtId="0" fontId="3" fillId="3" borderId="3" xfId="0" applyFont="1" applyFill="1" applyBorder="1" applyAlignment="1">
      <alignment horizontal="center" vertical="top"/>
    </xf>
    <xf numFmtId="0" fontId="3" fillId="0" borderId="1" xfId="0" applyFont="1" applyBorder="1" applyAlignment="1">
      <alignment horizontal="left" vertical="top"/>
    </xf>
    <xf numFmtId="0" fontId="2" fillId="2" borderId="1" xfId="0" applyFont="1" applyFill="1" applyBorder="1" applyAlignment="1">
      <alignment horizont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16" fillId="0" borderId="10" xfId="0" applyFont="1" applyBorder="1" applyAlignment="1">
      <alignment horizontal="center" vertical="center"/>
    </xf>
    <xf numFmtId="0" fontId="16" fillId="0" borderId="8" xfId="0" applyFont="1" applyBorder="1" applyAlignment="1">
      <alignment horizontal="center" vertical="center"/>
    </xf>
    <xf numFmtId="0" fontId="16" fillId="0" borderId="11" xfId="0" applyFont="1" applyBorder="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1" fillId="0" borderId="1" xfId="0" applyFont="1" applyBorder="1" applyAlignment="1">
      <alignment horizontal="left" vertical="top"/>
    </xf>
    <xf numFmtId="0" fontId="3" fillId="3" borderId="4" xfId="0" applyFont="1" applyFill="1" applyBorder="1" applyAlignment="1">
      <alignment horizontal="left" vertical="center"/>
    </xf>
    <xf numFmtId="0" fontId="0" fillId="0" borderId="0" xfId="0" applyAlignment="1">
      <alignment horizontal="center" vertical="center" wrapText="1"/>
    </xf>
    <xf numFmtId="0" fontId="2" fillId="2" borderId="7"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1" xfId="0" applyFont="1" applyFill="1" applyBorder="1" applyAlignment="1">
      <alignment horizontal="center" vertical="center"/>
    </xf>
    <xf numFmtId="0" fontId="11" fillId="10" borderId="5" xfId="0" applyFont="1" applyFill="1" applyBorder="1" applyAlignment="1">
      <alignment horizontal="left"/>
    </xf>
    <xf numFmtId="0" fontId="11" fillId="10" borderId="0" xfId="0" applyFont="1" applyFill="1" applyAlignment="1">
      <alignment horizontal="left"/>
    </xf>
    <xf numFmtId="0" fontId="11" fillId="10" borderId="12" xfId="0" applyFont="1" applyFill="1" applyBorder="1" applyAlignment="1">
      <alignment horizontal="left"/>
    </xf>
    <xf numFmtId="0" fontId="11" fillId="5" borderId="2" xfId="0" applyFont="1" applyFill="1" applyBorder="1" applyAlignment="1">
      <alignment horizontal="center"/>
    </xf>
    <xf numFmtId="0" fontId="11" fillId="5" borderId="3" xfId="0" applyFont="1" applyFill="1" applyBorder="1" applyAlignment="1">
      <alignment horizontal="center"/>
    </xf>
    <xf numFmtId="0" fontId="11" fillId="5" borderId="4" xfId="0" applyFont="1" applyFill="1" applyBorder="1" applyAlignment="1">
      <alignment horizontal="center"/>
    </xf>
    <xf numFmtId="0" fontId="9" fillId="6" borderId="3" xfId="0" applyFont="1" applyFill="1" applyBorder="1" applyAlignment="1">
      <alignment horizontal="center" vertical="center"/>
    </xf>
    <xf numFmtId="0" fontId="4" fillId="6" borderId="2" xfId="0" applyFont="1" applyFill="1" applyBorder="1" applyAlignment="1">
      <alignment horizontal="right"/>
    </xf>
    <xf numFmtId="0" fontId="4" fillId="6" borderId="3" xfId="0" applyFont="1" applyFill="1" applyBorder="1" applyAlignment="1">
      <alignment horizontal="right"/>
    </xf>
    <xf numFmtId="0" fontId="4" fillId="6" borderId="4" xfId="0" applyFont="1" applyFill="1" applyBorder="1" applyAlignment="1">
      <alignment horizontal="right"/>
    </xf>
    <xf numFmtId="0" fontId="9" fillId="6" borderId="2"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 fillId="0" borderId="0" xfId="0" applyFont="1" applyAlignment="1">
      <alignment vertical="top"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0" xfId="0" applyAlignment="1">
      <alignment horizontal="center" vertical="center"/>
    </xf>
    <xf numFmtId="0" fontId="11" fillId="7" borderId="2" xfId="0" applyFont="1" applyFill="1" applyBorder="1" applyAlignment="1">
      <alignment horizontal="center"/>
    </xf>
    <xf numFmtId="0" fontId="11" fillId="7" borderId="4" xfId="0" applyFont="1" applyFill="1" applyBorder="1" applyAlignment="1">
      <alignment horizontal="center"/>
    </xf>
    <xf numFmtId="0" fontId="7" fillId="0" borderId="10" xfId="0" applyFont="1" applyBorder="1" applyAlignment="1">
      <alignment horizontal="center" vertical="center"/>
    </xf>
    <xf numFmtId="0" fontId="7" fillId="0" borderId="8" xfId="0" applyFont="1" applyBorder="1" applyAlignment="1">
      <alignment horizontal="center" vertical="center"/>
    </xf>
    <xf numFmtId="0" fontId="11" fillId="6" borderId="8" xfId="0" applyFont="1" applyFill="1" applyBorder="1" applyAlignment="1">
      <alignment horizontal="left" wrapText="1"/>
    </xf>
    <xf numFmtId="0" fontId="11" fillId="6" borderId="11" xfId="0" applyFont="1" applyFill="1" applyBorder="1" applyAlignment="1">
      <alignment horizontal="left" wrapText="1"/>
    </xf>
    <xf numFmtId="0" fontId="11" fillId="7" borderId="3" xfId="0" applyFont="1" applyFill="1" applyBorder="1" applyAlignment="1">
      <alignment horizontal="center"/>
    </xf>
    <xf numFmtId="0" fontId="9" fillId="10" borderId="2" xfId="0" applyFont="1" applyFill="1" applyBorder="1" applyAlignment="1">
      <alignment horizontal="center" vertical="center"/>
    </xf>
    <xf numFmtId="0" fontId="9" fillId="10" borderId="3" xfId="0" applyFont="1" applyFill="1" applyBorder="1" applyAlignment="1">
      <alignment horizontal="center" vertical="center"/>
    </xf>
    <xf numFmtId="0" fontId="9" fillId="10" borderId="4" xfId="0" applyFont="1" applyFill="1" applyBorder="1" applyAlignment="1">
      <alignment horizontal="center"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1" fillId="6" borderId="1" xfId="0" applyFont="1" applyFill="1" applyBorder="1" applyAlignment="1">
      <alignment horizontal="justify" wrapText="1"/>
    </xf>
    <xf numFmtId="0" fontId="30" fillId="0" borderId="1" xfId="0" applyFont="1" applyBorder="1" applyAlignment="1">
      <alignment horizontal="right" vertical="center"/>
    </xf>
    <xf numFmtId="0" fontId="1" fillId="0" borderId="1" xfId="0" applyFont="1" applyBorder="1" applyAlignment="1">
      <alignment horizontal="justify" wrapText="1"/>
    </xf>
    <xf numFmtId="0" fontId="1" fillId="0" borderId="1" xfId="0" applyFont="1" applyBorder="1" applyAlignment="1">
      <alignment horizontal="center" vertical="center"/>
    </xf>
    <xf numFmtId="0" fontId="17" fillId="9" borderId="1" xfId="0" applyFont="1" applyFill="1" applyBorder="1" applyAlignment="1">
      <alignment horizontal="left" vertical="top" wrapText="1"/>
    </xf>
    <xf numFmtId="0" fontId="9" fillId="11" borderId="1" xfId="0" applyFont="1" applyFill="1" applyBorder="1" applyAlignment="1">
      <alignment horizontal="center"/>
    </xf>
    <xf numFmtId="0" fontId="9" fillId="9" borderId="1" xfId="0" applyFont="1" applyFill="1" applyBorder="1" applyAlignment="1">
      <alignment horizontal="center" vertical="center"/>
    </xf>
    <xf numFmtId="0" fontId="9" fillId="5" borderId="1" xfId="0" applyFont="1" applyFill="1" applyBorder="1" applyAlignment="1">
      <alignment horizontal="center" vertical="center"/>
    </xf>
    <xf numFmtId="0" fontId="11" fillId="8" borderId="1" xfId="0" applyFont="1" applyFill="1" applyBorder="1" applyAlignment="1">
      <alignment horizontal="center"/>
    </xf>
    <xf numFmtId="0" fontId="11" fillId="6" borderId="1" xfId="0" applyFont="1" applyFill="1" applyBorder="1" applyAlignment="1">
      <alignment horizontal="justify" vertical="top" wrapText="1"/>
    </xf>
    <xf numFmtId="0" fontId="11" fillId="7" borderId="1" xfId="0" applyFont="1" applyFill="1" applyBorder="1" applyAlignment="1">
      <alignment horizontal="center"/>
    </xf>
    <xf numFmtId="0" fontId="1" fillId="0" borderId="10" xfId="0" applyFont="1" applyBorder="1" applyAlignment="1">
      <alignment horizontal="center"/>
    </xf>
    <xf numFmtId="0" fontId="1" fillId="0" borderId="8" xfId="0" applyFont="1" applyBorder="1" applyAlignment="1">
      <alignment horizontal="center"/>
    </xf>
    <xf numFmtId="0" fontId="1" fillId="0" borderId="11" xfId="0" applyFont="1" applyBorder="1" applyAlignment="1">
      <alignment horizontal="center"/>
    </xf>
    <xf numFmtId="0" fontId="18" fillId="0" borderId="1" xfId="0" applyFont="1" applyBorder="1" applyAlignment="1">
      <alignment horizontal="center" vertical="center"/>
    </xf>
    <xf numFmtId="0" fontId="4" fillId="6" borderId="1" xfId="0" applyFont="1" applyFill="1" applyBorder="1" applyAlignment="1">
      <alignment horizontal="left" vertical="top" wrapText="1"/>
    </xf>
    <xf numFmtId="0" fontId="11" fillId="3" borderId="2" xfId="0" applyFont="1" applyFill="1" applyBorder="1" applyAlignment="1">
      <alignment horizontal="right"/>
    </xf>
    <xf numFmtId="0" fontId="11" fillId="3" borderId="3" xfId="0" applyFont="1" applyFill="1" applyBorder="1" applyAlignment="1">
      <alignment horizontal="right"/>
    </xf>
    <xf numFmtId="0" fontId="11" fillId="3" borderId="4" xfId="0" applyFont="1" applyFill="1" applyBorder="1" applyAlignment="1">
      <alignment horizontal="right"/>
    </xf>
    <xf numFmtId="0" fontId="11" fillId="3" borderId="2" xfId="0" applyFont="1" applyFill="1" applyBorder="1" applyAlignment="1">
      <alignment horizontal="center"/>
    </xf>
    <xf numFmtId="0" fontId="11" fillId="3" borderId="3" xfId="0" applyFont="1" applyFill="1" applyBorder="1" applyAlignment="1">
      <alignment horizontal="center"/>
    </xf>
    <xf numFmtId="0" fontId="11" fillId="3" borderId="4" xfId="0" applyFont="1" applyFill="1" applyBorder="1" applyAlignment="1">
      <alignment horizontal="center"/>
    </xf>
    <xf numFmtId="0" fontId="8" fillId="0" borderId="1" xfId="0" applyFont="1" applyBorder="1" applyAlignment="1">
      <alignment horizontal="center"/>
    </xf>
    <xf numFmtId="1" fontId="11" fillId="0" borderId="0" xfId="0" applyNumberFormat="1" applyFont="1" applyAlignment="1">
      <alignment horizontal="center" vertical="center"/>
    </xf>
    <xf numFmtId="0" fontId="4" fillId="0" borderId="2"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11" fillId="0" borderId="23" xfId="0" applyFont="1" applyBorder="1" applyAlignment="1">
      <alignment horizontal="center"/>
    </xf>
    <xf numFmtId="0" fontId="11" fillId="0" borderId="24" xfId="0" applyFont="1" applyBorder="1" applyAlignment="1">
      <alignment horizontal="center"/>
    </xf>
    <xf numFmtId="0" fontId="11" fillId="0" borderId="25" xfId="0" applyFont="1" applyBorder="1" applyAlignment="1">
      <alignment horizontal="center"/>
    </xf>
    <xf numFmtId="0" fontId="4" fillId="0" borderId="8" xfId="0" applyFont="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2" fillId="2" borderId="19" xfId="0" applyFont="1" applyFill="1" applyBorder="1" applyAlignment="1">
      <alignment horizontal="center"/>
    </xf>
    <xf numFmtId="0" fontId="2" fillId="2" borderId="18" xfId="0" applyFont="1" applyFill="1" applyBorder="1" applyAlignment="1">
      <alignment horizontal="center"/>
    </xf>
    <xf numFmtId="0" fontId="2" fillId="2" borderId="21" xfId="0" applyFont="1" applyFill="1" applyBorder="1" applyAlignment="1">
      <alignment horizontal="center"/>
    </xf>
    <xf numFmtId="0" fontId="4" fillId="5" borderId="1" xfId="0" applyFont="1" applyFill="1" applyBorder="1" applyAlignment="1">
      <alignment horizontal="center" vertical="center" wrapText="1"/>
    </xf>
    <xf numFmtId="14" fontId="8" fillId="0" borderId="1" xfId="0" applyNumberFormat="1" applyFont="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9" fillId="0" borderId="0" xfId="0" applyFont="1" applyAlignment="1">
      <alignment horizontal="center"/>
    </xf>
    <xf numFmtId="0" fontId="15" fillId="0" borderId="5" xfId="0" applyFont="1" applyBorder="1" applyAlignment="1">
      <alignment horizontal="left" vertical="center"/>
    </xf>
  </cellXfs>
  <cellStyles count="2">
    <cellStyle name="Hipervínculo" xfId="1" builtinId="8"/>
    <cellStyle name="Normal" xfId="0" builtinId="0"/>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0</xdr:row>
      <xdr:rowOff>8410</xdr:rowOff>
    </xdr:from>
    <xdr:to>
      <xdr:col>5</xdr:col>
      <xdr:colOff>50799</xdr:colOff>
      <xdr:row>6</xdr:row>
      <xdr:rowOff>51753</xdr:rowOff>
    </xdr:to>
    <xdr:pic>
      <xdr:nvPicPr>
        <xdr:cNvPr id="3" name="Imagen 2">
          <a:extLst>
            <a:ext uri="{FF2B5EF4-FFF2-40B4-BE49-F238E27FC236}">
              <a16:creationId xmlns:a16="http://schemas.microsoft.com/office/drawing/2014/main" id="{CC716083-FEAB-4FF3-AD2A-E0E5F467B6C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2560"/>
        <a:stretch/>
      </xdr:blipFill>
      <xdr:spPr bwMode="auto">
        <a:xfrm>
          <a:off x="31750" y="389410"/>
          <a:ext cx="1606549" cy="1091093"/>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167160</xdr:rowOff>
    </xdr:from>
    <xdr:to>
      <xdr:col>5</xdr:col>
      <xdr:colOff>19049</xdr:colOff>
      <xdr:row>8</xdr:row>
      <xdr:rowOff>59690</xdr:rowOff>
    </xdr:to>
    <xdr:pic>
      <xdr:nvPicPr>
        <xdr:cNvPr id="2" name="Imagen 1">
          <a:extLst>
            <a:ext uri="{FF2B5EF4-FFF2-40B4-BE49-F238E27FC236}">
              <a16:creationId xmlns:a16="http://schemas.microsoft.com/office/drawing/2014/main" id="{98115737-FD5F-4960-89E6-DF8C1CD7C03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2560"/>
        <a:stretch/>
      </xdr:blipFill>
      <xdr:spPr bwMode="auto">
        <a:xfrm>
          <a:off x="0" y="548160"/>
          <a:ext cx="1590674" cy="1092680"/>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71ED0-ABE0-4E8D-A43F-0842B8A0B72D}">
  <dimension ref="A1:CJ445"/>
  <sheetViews>
    <sheetView showGridLines="0" topLeftCell="A212" zoomScale="120" zoomScaleNormal="120" workbookViewId="0">
      <selection activeCell="A224" sqref="A224:Z224"/>
    </sheetView>
  </sheetViews>
  <sheetFormatPr baseColWidth="10" defaultColWidth="11.15625" defaultRowHeight="14.4" x14ac:dyDescent="0.55000000000000004"/>
  <cols>
    <col min="1" max="5" width="4.68359375" customWidth="1"/>
    <col min="6" max="6" width="2.68359375" customWidth="1"/>
    <col min="7" max="7" width="3.83984375" customWidth="1"/>
    <col min="8" max="15" width="2.68359375" customWidth="1"/>
    <col min="16" max="22" width="4.68359375" customWidth="1"/>
    <col min="23" max="24" width="2.41796875" customWidth="1"/>
    <col min="25" max="26" width="4.68359375" customWidth="1"/>
    <col min="27" max="27" width="6.15625" customWidth="1"/>
    <col min="28" max="28" width="4.68359375" customWidth="1"/>
    <col min="29" max="30" width="4.68359375" hidden="1" customWidth="1"/>
    <col min="31" max="31" width="6.41796875" hidden="1" customWidth="1"/>
    <col min="32" max="36" width="4.68359375" hidden="1" customWidth="1"/>
    <col min="37" max="37" width="34.578125" hidden="1" customWidth="1"/>
    <col min="38" max="54" width="5.68359375" hidden="1" customWidth="1"/>
    <col min="55" max="58" width="11.15625" hidden="1" customWidth="1"/>
    <col min="59" max="67" width="4.68359375" hidden="1" customWidth="1"/>
    <col min="68" max="71" width="11.41796875" hidden="1" customWidth="1"/>
    <col min="72" max="86" width="11.15625" hidden="1" customWidth="1"/>
    <col min="87" max="93" width="11.15625" customWidth="1"/>
  </cols>
  <sheetData>
    <row r="1" spans="1:83" ht="15.75" customHeight="1" x14ac:dyDescent="0.55000000000000004">
      <c r="A1" s="484"/>
      <c r="B1" s="484"/>
      <c r="C1" s="484"/>
      <c r="D1" s="484"/>
      <c r="E1" s="484"/>
      <c r="F1" s="765" t="s">
        <v>81</v>
      </c>
      <c r="G1" s="766"/>
      <c r="H1" s="766"/>
      <c r="I1" s="766"/>
      <c r="J1" s="766"/>
      <c r="K1" s="766"/>
      <c r="L1" s="766"/>
      <c r="M1" s="766"/>
      <c r="N1" s="766"/>
      <c r="O1" s="766"/>
      <c r="P1" s="766"/>
      <c r="Q1" s="766"/>
      <c r="R1" s="766"/>
      <c r="S1" s="766"/>
      <c r="T1" s="766"/>
      <c r="U1" s="767"/>
      <c r="V1" s="760" t="s">
        <v>136</v>
      </c>
      <c r="W1" s="761"/>
      <c r="X1" s="761"/>
      <c r="Y1" s="761"/>
      <c r="Z1" s="761"/>
      <c r="AA1" s="762"/>
      <c r="AB1" s="66"/>
      <c r="AD1" s="63"/>
      <c r="AE1" s="63"/>
      <c r="AF1" s="63"/>
      <c r="AG1" s="3"/>
      <c r="AH1" s="3"/>
      <c r="AL1" s="10">
        <v>1</v>
      </c>
      <c r="AM1" s="61" t="s">
        <v>252</v>
      </c>
      <c r="BC1" s="1">
        <v>1</v>
      </c>
      <c r="BD1" s="62" t="s">
        <v>252</v>
      </c>
      <c r="BQ1" t="s">
        <v>582</v>
      </c>
    </row>
    <row r="2" spans="1:83" ht="15.75" customHeight="1" x14ac:dyDescent="0.55000000000000004">
      <c r="A2" s="484"/>
      <c r="B2" s="484"/>
      <c r="C2" s="484"/>
      <c r="D2" s="484"/>
      <c r="E2" s="484"/>
      <c r="F2" s="471"/>
      <c r="G2" s="472"/>
      <c r="H2" s="472"/>
      <c r="I2" s="472"/>
      <c r="J2" s="472"/>
      <c r="K2" s="472"/>
      <c r="L2" s="472"/>
      <c r="M2" s="472"/>
      <c r="N2" s="472"/>
      <c r="O2" s="472"/>
      <c r="P2" s="472"/>
      <c r="Q2" s="472"/>
      <c r="R2" s="472"/>
      <c r="S2" s="472"/>
      <c r="T2" s="472"/>
      <c r="U2" s="473"/>
      <c r="V2" s="634" t="s">
        <v>134</v>
      </c>
      <c r="W2" s="487"/>
      <c r="X2" s="487"/>
      <c r="Y2" s="487"/>
      <c r="Z2" s="487"/>
      <c r="AA2" s="488"/>
      <c r="AB2" s="37"/>
      <c r="AC2" s="1"/>
      <c r="AD2" s="1"/>
      <c r="AE2" s="1"/>
      <c r="AF2" s="1"/>
      <c r="AG2" s="1"/>
      <c r="AH2" s="1"/>
      <c r="AL2" s="9"/>
      <c r="AM2" s="62" t="s">
        <v>147</v>
      </c>
      <c r="BC2" s="1">
        <v>2</v>
      </c>
      <c r="BD2" s="62" t="s">
        <v>253</v>
      </c>
      <c r="BQ2" t="s">
        <v>581</v>
      </c>
    </row>
    <row r="3" spans="1:83" ht="10" customHeight="1" x14ac:dyDescent="0.55000000000000004">
      <c r="A3" s="484"/>
      <c r="B3" s="484"/>
      <c r="C3" s="484"/>
      <c r="D3" s="484"/>
      <c r="E3" s="484"/>
      <c r="F3" s="471"/>
      <c r="G3" s="472"/>
      <c r="H3" s="472"/>
      <c r="I3" s="472"/>
      <c r="J3" s="472"/>
      <c r="K3" s="472"/>
      <c r="L3" s="472"/>
      <c r="M3" s="472"/>
      <c r="N3" s="472"/>
      <c r="O3" s="472"/>
      <c r="P3" s="472"/>
      <c r="Q3" s="472"/>
      <c r="R3" s="472"/>
      <c r="S3" s="472"/>
      <c r="T3" s="472"/>
      <c r="U3" s="473"/>
      <c r="V3" s="191"/>
      <c r="W3" s="67"/>
      <c r="X3" s="67"/>
      <c r="Y3" s="71"/>
      <c r="Z3" s="67"/>
      <c r="AA3" s="115"/>
      <c r="AB3" s="191"/>
      <c r="AC3" s="67"/>
      <c r="AD3" s="67"/>
      <c r="AE3" s="67"/>
      <c r="AL3" s="9"/>
      <c r="AM3" s="62" t="s">
        <v>148</v>
      </c>
      <c r="BC3" s="1">
        <v>3</v>
      </c>
      <c r="BD3" s="62" t="s">
        <v>254</v>
      </c>
      <c r="BT3">
        <v>1</v>
      </c>
      <c r="BU3" s="3" t="s">
        <v>540</v>
      </c>
    </row>
    <row r="4" spans="1:83" ht="15.75" customHeight="1" x14ac:dyDescent="0.55000000000000004">
      <c r="A4" s="484"/>
      <c r="B4" s="484"/>
      <c r="C4" s="484"/>
      <c r="D4" s="484"/>
      <c r="E4" s="484"/>
      <c r="F4" s="471"/>
      <c r="G4" s="472"/>
      <c r="H4" s="472"/>
      <c r="I4" s="472"/>
      <c r="J4" s="472"/>
      <c r="K4" s="472"/>
      <c r="L4" s="472"/>
      <c r="M4" s="472"/>
      <c r="N4" s="472"/>
      <c r="O4" s="472"/>
      <c r="P4" s="472"/>
      <c r="Q4" s="472"/>
      <c r="R4" s="472"/>
      <c r="S4" s="472"/>
      <c r="T4" s="472"/>
      <c r="U4" s="473"/>
      <c r="V4" s="763" t="s">
        <v>270</v>
      </c>
      <c r="W4" s="489"/>
      <c r="X4" s="489"/>
      <c r="Y4" s="489"/>
      <c r="Z4" s="489"/>
      <c r="AA4" s="490"/>
      <c r="AB4" s="66"/>
      <c r="AC4" s="63"/>
      <c r="AD4" s="63"/>
      <c r="AE4" s="63"/>
      <c r="AL4" s="9"/>
      <c r="AM4" s="62" t="s">
        <v>149</v>
      </c>
      <c r="BC4" s="1"/>
      <c r="BD4" s="62"/>
      <c r="BT4">
        <v>2</v>
      </c>
      <c r="BU4" s="3" t="s">
        <v>541</v>
      </c>
    </row>
    <row r="5" spans="1:83" ht="10" customHeight="1" x14ac:dyDescent="0.55000000000000004">
      <c r="A5" s="484"/>
      <c r="B5" s="484"/>
      <c r="C5" s="484"/>
      <c r="D5" s="484"/>
      <c r="E5" s="484"/>
      <c r="F5" s="471"/>
      <c r="G5" s="472"/>
      <c r="H5" s="472"/>
      <c r="I5" s="472"/>
      <c r="J5" s="472"/>
      <c r="K5" s="472"/>
      <c r="L5" s="472"/>
      <c r="M5" s="472"/>
      <c r="N5" s="472"/>
      <c r="O5" s="472"/>
      <c r="P5" s="472"/>
      <c r="Q5" s="472"/>
      <c r="R5" s="472"/>
      <c r="S5" s="472"/>
      <c r="T5" s="472"/>
      <c r="U5" s="473"/>
      <c r="V5" s="191"/>
      <c r="W5" s="67"/>
      <c r="X5" s="67"/>
      <c r="Y5" s="71"/>
      <c r="Z5" s="67"/>
      <c r="AA5" s="115"/>
      <c r="AB5" s="191"/>
      <c r="AC5" s="67"/>
      <c r="AD5" s="67"/>
      <c r="AE5" s="67"/>
      <c r="AL5" s="9"/>
      <c r="AM5" s="7" t="s">
        <v>150</v>
      </c>
      <c r="BC5" s="1"/>
      <c r="BD5" s="62"/>
      <c r="BT5">
        <v>3</v>
      </c>
      <c r="BU5" s="3" t="s">
        <v>542</v>
      </c>
    </row>
    <row r="6" spans="1:83" ht="15.75" customHeight="1" x14ac:dyDescent="0.55000000000000004">
      <c r="A6" s="484"/>
      <c r="B6" s="484"/>
      <c r="C6" s="484"/>
      <c r="D6" s="484"/>
      <c r="E6" s="484"/>
      <c r="F6" s="471"/>
      <c r="G6" s="472"/>
      <c r="H6" s="472"/>
      <c r="I6" s="472"/>
      <c r="J6" s="472"/>
      <c r="K6" s="472"/>
      <c r="L6" s="472"/>
      <c r="M6" s="472"/>
      <c r="N6" s="472"/>
      <c r="O6" s="472"/>
      <c r="P6" s="472"/>
      <c r="Q6" s="472"/>
      <c r="R6" s="472"/>
      <c r="S6" s="472"/>
      <c r="T6" s="472"/>
      <c r="U6" s="473"/>
      <c r="V6" s="763" t="s">
        <v>271</v>
      </c>
      <c r="W6" s="489"/>
      <c r="X6" s="489"/>
      <c r="Y6" s="489"/>
      <c r="Z6" s="489"/>
      <c r="AA6" s="490"/>
      <c r="AB6" s="266"/>
      <c r="AC6" s="63"/>
      <c r="AD6" s="63"/>
      <c r="AE6" s="63"/>
      <c r="AL6" s="9"/>
      <c r="AM6" s="9" t="s">
        <v>151</v>
      </c>
      <c r="BC6" s="1"/>
      <c r="BD6" s="62"/>
      <c r="BT6">
        <v>4</v>
      </c>
      <c r="BU6" s="3" t="s">
        <v>543</v>
      </c>
    </row>
    <row r="7" spans="1:83" ht="15.75" customHeight="1" x14ac:dyDescent="0.55000000000000004">
      <c r="A7" s="484"/>
      <c r="B7" s="484"/>
      <c r="C7" s="484"/>
      <c r="D7" s="484"/>
      <c r="E7" s="484"/>
      <c r="F7" s="570"/>
      <c r="G7" s="571"/>
      <c r="H7" s="571"/>
      <c r="I7" s="571"/>
      <c r="J7" s="571"/>
      <c r="K7" s="571"/>
      <c r="L7" s="571"/>
      <c r="M7" s="571"/>
      <c r="N7" s="571"/>
      <c r="O7" s="571"/>
      <c r="P7" s="571"/>
      <c r="Q7" s="571"/>
      <c r="R7" s="571"/>
      <c r="S7" s="571"/>
      <c r="T7" s="571"/>
      <c r="U7" s="572"/>
      <c r="V7" s="764" t="s">
        <v>67</v>
      </c>
      <c r="W7" s="491"/>
      <c r="X7" s="491"/>
      <c r="Y7" s="491"/>
      <c r="Z7" s="491"/>
      <c r="AA7" s="492"/>
      <c r="AB7" s="266"/>
      <c r="AC7" s="63"/>
      <c r="AD7" s="63"/>
      <c r="AE7" s="63"/>
      <c r="AL7" s="9"/>
      <c r="AM7" s="9" t="s">
        <v>152</v>
      </c>
      <c r="BC7" s="1">
        <v>4</v>
      </c>
      <c r="BD7" s="62" t="s">
        <v>255</v>
      </c>
      <c r="BT7">
        <v>5</v>
      </c>
      <c r="BU7" s="3" t="s">
        <v>544</v>
      </c>
    </row>
    <row r="8" spans="1:83" ht="17.399999999999999" x14ac:dyDescent="0.55000000000000004">
      <c r="A8" s="759" t="s">
        <v>0</v>
      </c>
      <c r="B8" s="759"/>
      <c r="C8" s="759"/>
      <c r="D8" s="759"/>
      <c r="E8" s="759"/>
      <c r="F8" s="759"/>
      <c r="G8" s="759"/>
      <c r="H8" s="759"/>
      <c r="I8" s="759"/>
      <c r="J8" s="759"/>
      <c r="K8" s="759"/>
      <c r="L8" s="759"/>
      <c r="M8" s="759"/>
      <c r="N8" s="759"/>
      <c r="O8" s="759"/>
      <c r="P8" s="759"/>
      <c r="Q8" s="759"/>
      <c r="R8" s="759"/>
      <c r="S8" s="759"/>
      <c r="T8" s="759"/>
      <c r="U8" s="759"/>
      <c r="V8" s="759"/>
      <c r="W8" s="759"/>
      <c r="X8" s="759"/>
      <c r="Y8" s="759"/>
      <c r="Z8" s="759"/>
      <c r="AA8" s="759"/>
      <c r="AB8" s="265"/>
      <c r="AC8" s="190"/>
      <c r="AD8" s="190"/>
      <c r="AE8" s="1" t="s">
        <v>629</v>
      </c>
      <c r="AF8" s="1"/>
      <c r="AG8" s="1"/>
      <c r="AH8" s="1"/>
      <c r="AI8" s="1"/>
      <c r="AJ8" s="1"/>
      <c r="AK8" s="1"/>
      <c r="AL8" s="9"/>
      <c r="AM8" s="9" t="s">
        <v>153</v>
      </c>
      <c r="BC8" s="1">
        <v>5</v>
      </c>
      <c r="BD8" s="62" t="s">
        <v>256</v>
      </c>
      <c r="BG8" s="1" t="s">
        <v>24</v>
      </c>
      <c r="BH8" s="1"/>
      <c r="BI8" s="1"/>
      <c r="BJ8" s="1"/>
      <c r="BK8" s="1"/>
      <c r="BL8" s="1"/>
      <c r="BM8" s="1"/>
      <c r="BN8" s="1"/>
      <c r="BO8" s="1"/>
      <c r="BP8" s="1"/>
      <c r="BQ8" s="1" t="s">
        <v>71</v>
      </c>
      <c r="BR8" s="1" t="s">
        <v>72</v>
      </c>
      <c r="BS8" s="1"/>
      <c r="BT8">
        <v>6</v>
      </c>
      <c r="BU8" s="3" t="s">
        <v>545</v>
      </c>
      <c r="BW8" s="1"/>
      <c r="BX8" s="1"/>
      <c r="BY8" s="1"/>
      <c r="BZ8" s="1"/>
      <c r="CA8" s="1"/>
      <c r="CB8" s="1"/>
      <c r="CC8" s="1"/>
      <c r="CD8" s="1"/>
      <c r="CE8" s="1"/>
    </row>
    <row r="9" spans="1:83" ht="15.3" x14ac:dyDescent="0.55000000000000004">
      <c r="A9" s="661" t="s">
        <v>1</v>
      </c>
      <c r="B9" s="662"/>
      <c r="C9" s="772"/>
      <c r="D9" s="483"/>
      <c r="E9" s="483"/>
      <c r="F9" s="483"/>
      <c r="G9" s="483"/>
      <c r="H9" s="483"/>
      <c r="I9" s="483"/>
      <c r="J9" s="483"/>
      <c r="K9" s="483"/>
      <c r="L9" s="483"/>
      <c r="M9" s="483"/>
      <c r="N9" s="483"/>
      <c r="O9" s="483"/>
      <c r="P9" s="483"/>
      <c r="Q9" s="483"/>
      <c r="R9" s="483"/>
      <c r="S9" s="483"/>
      <c r="T9" s="483"/>
      <c r="U9" s="483"/>
      <c r="V9" s="483"/>
      <c r="W9" s="483"/>
      <c r="X9" s="483"/>
      <c r="Y9" s="483"/>
      <c r="Z9" s="483"/>
      <c r="AA9" s="483"/>
      <c r="AB9" s="37"/>
      <c r="AC9" s="1"/>
      <c r="AD9" s="1"/>
      <c r="AE9" s="1" t="s">
        <v>627</v>
      </c>
      <c r="AF9" s="1"/>
      <c r="AG9" s="1"/>
      <c r="AH9" s="1"/>
      <c r="AI9" s="1"/>
      <c r="AJ9" s="1"/>
      <c r="AK9" s="1"/>
      <c r="AL9" s="9"/>
      <c r="AM9" s="9" t="s">
        <v>154</v>
      </c>
      <c r="BC9" s="1">
        <v>6</v>
      </c>
      <c r="BD9" s="62" t="s">
        <v>257</v>
      </c>
      <c r="BG9" s="1" t="s">
        <v>25</v>
      </c>
      <c r="BH9" s="1"/>
      <c r="BI9" s="1"/>
      <c r="BJ9" s="1"/>
      <c r="BK9" s="1"/>
      <c r="BL9" s="1"/>
      <c r="BM9" s="1"/>
      <c r="BN9" s="1"/>
      <c r="BO9" s="1"/>
      <c r="BP9" s="1"/>
      <c r="BQ9" s="1" t="s">
        <v>73</v>
      </c>
      <c r="BR9" s="1" t="s">
        <v>13</v>
      </c>
      <c r="BS9" s="1"/>
      <c r="BT9">
        <v>7</v>
      </c>
      <c r="BU9" s="3" t="s">
        <v>546</v>
      </c>
      <c r="BW9" s="1"/>
      <c r="BX9" s="1"/>
      <c r="BY9" s="1"/>
      <c r="BZ9" s="1"/>
      <c r="CA9" s="1"/>
      <c r="CB9" s="1"/>
      <c r="CC9" s="1"/>
      <c r="CD9" s="1"/>
      <c r="CE9" s="1"/>
    </row>
    <row r="10" spans="1:83" ht="15.3" x14ac:dyDescent="0.55000000000000004">
      <c r="A10" s="661" t="s">
        <v>2</v>
      </c>
      <c r="B10" s="662"/>
      <c r="C10" s="772"/>
      <c r="D10" s="652"/>
      <c r="E10" s="653"/>
      <c r="F10" s="653"/>
      <c r="G10" s="653"/>
      <c r="H10" s="653"/>
      <c r="I10" s="653"/>
      <c r="J10" s="653"/>
      <c r="K10" s="653"/>
      <c r="L10" s="653"/>
      <c r="M10" s="653"/>
      <c r="N10" s="653"/>
      <c r="O10" s="653"/>
      <c r="P10" s="653"/>
      <c r="Q10" s="653"/>
      <c r="R10" s="653"/>
      <c r="S10" s="653"/>
      <c r="T10" s="653"/>
      <c r="U10" s="653"/>
      <c r="V10" s="653"/>
      <c r="W10" s="653"/>
      <c r="X10" s="654"/>
      <c r="Y10" s="192" t="s">
        <v>3</v>
      </c>
      <c r="Z10" s="485"/>
      <c r="AA10" s="551"/>
      <c r="AB10" s="37"/>
      <c r="AC10" s="1"/>
      <c r="AE10" t="s">
        <v>628</v>
      </c>
      <c r="AF10" s="1"/>
      <c r="AG10" s="1"/>
      <c r="AH10" s="1"/>
      <c r="AI10" s="1"/>
      <c r="AJ10" s="1"/>
      <c r="AK10" s="1"/>
      <c r="AL10" s="9"/>
      <c r="AM10" s="61" t="s">
        <v>253</v>
      </c>
      <c r="BC10" s="1">
        <v>7</v>
      </c>
      <c r="BD10" s="9" t="s">
        <v>258</v>
      </c>
      <c r="BG10" s="1" t="s">
        <v>26</v>
      </c>
      <c r="BH10" s="1"/>
      <c r="BI10" s="1"/>
      <c r="BJ10" s="1"/>
      <c r="BK10" s="1"/>
      <c r="BL10" s="1"/>
      <c r="BM10" s="1"/>
      <c r="BN10" s="1"/>
      <c r="BO10" s="1"/>
      <c r="BP10" s="1"/>
      <c r="BQ10" s="1" t="s">
        <v>74</v>
      </c>
      <c r="BR10" s="1" t="s">
        <v>583</v>
      </c>
      <c r="BS10" s="1"/>
      <c r="BT10">
        <v>8</v>
      </c>
      <c r="BU10" s="3" t="s">
        <v>547</v>
      </c>
      <c r="BV10" s="1"/>
      <c r="BW10" s="1"/>
      <c r="BX10" s="1"/>
      <c r="BY10" s="1"/>
      <c r="BZ10" s="1"/>
      <c r="CA10" s="1"/>
      <c r="CB10" s="1"/>
      <c r="CC10" s="1"/>
      <c r="CD10" s="1"/>
      <c r="CE10" s="1"/>
    </row>
    <row r="11" spans="1:83" ht="15.3" x14ac:dyDescent="0.55000000000000004">
      <c r="A11" s="661" t="s">
        <v>4</v>
      </c>
      <c r="B11" s="662"/>
      <c r="C11" s="772"/>
      <c r="D11" s="470"/>
      <c r="E11" s="470"/>
      <c r="F11" s="470"/>
      <c r="G11" s="470"/>
      <c r="H11" s="470"/>
      <c r="I11" s="470"/>
      <c r="J11" s="470"/>
      <c r="K11" s="470"/>
      <c r="L11" s="470"/>
      <c r="M11" s="470"/>
      <c r="N11" s="470"/>
      <c r="O11" s="470"/>
      <c r="P11" s="470"/>
      <c r="Q11" s="670" t="s">
        <v>539</v>
      </c>
      <c r="R11" s="670"/>
      <c r="S11" s="670"/>
      <c r="T11" s="671"/>
      <c r="U11" s="671"/>
      <c r="V11" s="671"/>
      <c r="W11" s="671"/>
      <c r="X11" s="671"/>
      <c r="Y11" s="671"/>
      <c r="Z11" s="671"/>
      <c r="AA11" s="672"/>
      <c r="AB11" s="37"/>
      <c r="AC11" s="1"/>
      <c r="AD11" s="1"/>
      <c r="AE11" s="1"/>
      <c r="AF11" s="1"/>
      <c r="AG11" s="1"/>
      <c r="AH11" s="1"/>
      <c r="AI11" s="1"/>
      <c r="AJ11" s="1"/>
      <c r="AK11" s="1"/>
      <c r="AL11" s="9"/>
      <c r="AM11" s="9" t="s">
        <v>156</v>
      </c>
      <c r="BC11" s="1">
        <v>8</v>
      </c>
      <c r="BD11" s="9" t="s">
        <v>259</v>
      </c>
      <c r="BG11" s="1" t="s">
        <v>27</v>
      </c>
      <c r="BH11" s="1"/>
      <c r="BI11" s="1"/>
      <c r="BJ11" s="1"/>
      <c r="BK11" s="1"/>
      <c r="BL11" s="1"/>
      <c r="BM11" s="1"/>
      <c r="BN11" s="1"/>
      <c r="BO11" s="1"/>
      <c r="BP11" s="1"/>
      <c r="BQ11" s="1"/>
      <c r="BR11" s="1"/>
      <c r="BS11" s="1"/>
      <c r="BT11">
        <v>9</v>
      </c>
      <c r="BU11" s="251" t="s">
        <v>548</v>
      </c>
      <c r="BV11" s="1"/>
      <c r="BW11" s="1"/>
      <c r="BX11" s="1"/>
      <c r="BY11" s="1"/>
      <c r="BZ11" s="1"/>
      <c r="CA11" s="1"/>
      <c r="CB11" s="1"/>
      <c r="CC11" s="1"/>
      <c r="CD11" s="1"/>
      <c r="CE11" s="1"/>
    </row>
    <row r="12" spans="1:83" ht="15.3" x14ac:dyDescent="0.55000000000000004">
      <c r="A12" s="661" t="s">
        <v>5</v>
      </c>
      <c r="B12" s="662"/>
      <c r="C12" s="772"/>
      <c r="D12" s="549"/>
      <c r="E12" s="671"/>
      <c r="F12" s="671"/>
      <c r="G12" s="671"/>
      <c r="H12" s="671"/>
      <c r="I12" s="671"/>
      <c r="J12" s="672"/>
      <c r="K12" s="756" t="s">
        <v>6</v>
      </c>
      <c r="L12" s="757"/>
      <c r="M12" s="757"/>
      <c r="N12" s="757"/>
      <c r="O12" s="757"/>
      <c r="P12" s="757"/>
      <c r="Q12" s="757"/>
      <c r="R12" s="225"/>
      <c r="S12" s="225"/>
      <c r="T12" s="225"/>
      <c r="U12" s="225"/>
      <c r="V12" s="225"/>
      <c r="W12" s="225"/>
      <c r="X12" s="225"/>
      <c r="Y12" s="225"/>
      <c r="Z12" s="225"/>
      <c r="AA12" s="276"/>
      <c r="AB12" s="37"/>
      <c r="AC12" s="1"/>
      <c r="AD12" s="1"/>
      <c r="AE12" s="1" t="s">
        <v>630</v>
      </c>
      <c r="AF12" s="1"/>
      <c r="AG12" s="1"/>
      <c r="AH12" s="1"/>
      <c r="AI12" s="1"/>
      <c r="AJ12" s="1"/>
      <c r="AK12" s="1"/>
      <c r="AL12" s="9"/>
      <c r="AM12" s="9" t="s">
        <v>157</v>
      </c>
      <c r="BC12" s="1">
        <v>9</v>
      </c>
      <c r="BD12" s="9" t="s">
        <v>155</v>
      </c>
      <c r="BG12" s="1" t="s">
        <v>28</v>
      </c>
      <c r="BH12" s="1"/>
      <c r="BI12" s="1"/>
      <c r="BJ12" s="1"/>
      <c r="BK12" s="1"/>
      <c r="BL12" s="1"/>
      <c r="BM12" s="1"/>
      <c r="BN12" s="1"/>
      <c r="BO12" s="1"/>
      <c r="BP12" s="1"/>
      <c r="BQ12" s="1" t="s">
        <v>76</v>
      </c>
      <c r="BR12" s="1"/>
      <c r="BS12" s="1"/>
      <c r="BT12">
        <v>10</v>
      </c>
      <c r="BU12" s="251" t="s">
        <v>549</v>
      </c>
      <c r="BV12" s="1"/>
      <c r="BW12" s="1"/>
      <c r="BX12" s="1"/>
      <c r="BY12" s="1"/>
      <c r="BZ12" s="1"/>
      <c r="CA12" s="1"/>
      <c r="CB12" s="1"/>
      <c r="CC12" s="1"/>
      <c r="CD12" s="1"/>
      <c r="CE12" s="1"/>
    </row>
    <row r="13" spans="1:83" ht="15.3" x14ac:dyDescent="0.55000000000000004">
      <c r="A13" s="661" t="s">
        <v>7</v>
      </c>
      <c r="B13" s="662"/>
      <c r="C13" s="772"/>
      <c r="D13" s="549"/>
      <c r="E13" s="671"/>
      <c r="F13" s="671"/>
      <c r="G13" s="671"/>
      <c r="H13" s="671"/>
      <c r="I13" s="671"/>
      <c r="J13" s="671"/>
      <c r="K13" s="671"/>
      <c r="L13" s="671"/>
      <c r="M13" s="671"/>
      <c r="N13" s="671"/>
      <c r="O13" s="671"/>
      <c r="P13" s="672"/>
      <c r="Q13" s="661" t="s">
        <v>8</v>
      </c>
      <c r="R13" s="662"/>
      <c r="S13" s="662"/>
      <c r="T13" s="662"/>
      <c r="U13" s="662"/>
      <c r="V13" s="662"/>
      <c r="W13" s="772"/>
      <c r="X13" s="655"/>
      <c r="Y13" s="656"/>
      <c r="Z13" s="656"/>
      <c r="AA13" s="657"/>
      <c r="AB13" s="37"/>
      <c r="AC13" s="1"/>
      <c r="AD13" s="1"/>
      <c r="AE13" s="1" t="s">
        <v>631</v>
      </c>
      <c r="AF13" s="1"/>
      <c r="AG13" s="1"/>
      <c r="AH13" s="1"/>
      <c r="AI13" s="1"/>
      <c r="AJ13" s="1"/>
      <c r="AK13" s="1"/>
      <c r="AL13" s="10">
        <v>2</v>
      </c>
      <c r="AM13" s="9" t="s">
        <v>158</v>
      </c>
      <c r="BC13" s="1">
        <v>10</v>
      </c>
      <c r="BD13" s="9" t="s">
        <v>260</v>
      </c>
      <c r="BG13" s="1" t="s">
        <v>29</v>
      </c>
      <c r="BH13" s="1"/>
      <c r="BI13" s="1"/>
      <c r="BJ13" s="1"/>
      <c r="BK13" s="1"/>
      <c r="BL13" s="1"/>
      <c r="BM13" s="1"/>
      <c r="BN13" s="1"/>
      <c r="BO13" s="1"/>
      <c r="BP13" s="1"/>
      <c r="BQ13" s="1" t="s">
        <v>77</v>
      </c>
      <c r="BR13" s="1"/>
      <c r="BS13" s="1"/>
      <c r="BT13">
        <v>11</v>
      </c>
      <c r="BU13" s="251" t="s">
        <v>550</v>
      </c>
      <c r="BV13" s="1"/>
      <c r="BW13" s="1"/>
      <c r="BX13" s="1"/>
      <c r="BY13" s="1"/>
      <c r="BZ13" s="1"/>
      <c r="CA13" s="1"/>
      <c r="CB13" s="1"/>
      <c r="CC13" s="1"/>
      <c r="CD13" s="1"/>
      <c r="CE13" s="1"/>
    </row>
    <row r="14" spans="1:83" ht="15.3" x14ac:dyDescent="0.55000000000000004">
      <c r="A14" s="661" t="s">
        <v>9</v>
      </c>
      <c r="B14" s="662"/>
      <c r="C14" s="662"/>
      <c r="D14" s="662"/>
      <c r="E14" s="662"/>
      <c r="F14" s="772"/>
      <c r="G14" s="768"/>
      <c r="H14" s="769"/>
      <c r="I14" s="769"/>
      <c r="J14" s="769"/>
      <c r="K14" s="769"/>
      <c r="L14" s="769"/>
      <c r="M14" s="769"/>
      <c r="N14" s="769"/>
      <c r="O14" s="769"/>
      <c r="P14" s="770"/>
      <c r="Q14" s="661" t="s">
        <v>10</v>
      </c>
      <c r="R14" s="662"/>
      <c r="S14" s="662"/>
      <c r="T14" s="662"/>
      <c r="U14" s="772"/>
      <c r="V14" s="758"/>
      <c r="W14" s="758"/>
      <c r="X14" s="758"/>
      <c r="Y14" s="758"/>
      <c r="Z14" s="758"/>
      <c r="AA14" s="758"/>
      <c r="AB14" s="37"/>
      <c r="AC14" s="1"/>
      <c r="AD14" s="1"/>
      <c r="AE14" s="1" t="s">
        <v>632</v>
      </c>
      <c r="AF14" s="1"/>
      <c r="AG14" s="1"/>
      <c r="AH14" s="1"/>
      <c r="AI14" s="1"/>
      <c r="AJ14" s="1"/>
      <c r="AK14" s="1"/>
      <c r="AL14" s="9"/>
      <c r="AM14" s="61" t="s">
        <v>254</v>
      </c>
      <c r="BC14" s="1">
        <v>11</v>
      </c>
      <c r="BD14" s="9" t="s">
        <v>261</v>
      </c>
      <c r="BG14" s="1" t="s">
        <v>30</v>
      </c>
      <c r="BH14" s="1"/>
      <c r="BI14" s="1"/>
      <c r="BJ14" s="1"/>
      <c r="BK14" s="1"/>
      <c r="BL14" s="1"/>
      <c r="BM14" s="1"/>
      <c r="BN14" s="1"/>
      <c r="BO14" s="1"/>
      <c r="BP14" s="1"/>
      <c r="BQ14" s="1" t="s">
        <v>78</v>
      </c>
      <c r="BR14" s="1"/>
      <c r="BS14" s="1"/>
      <c r="BT14">
        <v>12</v>
      </c>
      <c r="BU14" s="251" t="s">
        <v>551</v>
      </c>
      <c r="BV14" s="1"/>
      <c r="BW14" s="1"/>
      <c r="BX14" s="1"/>
      <c r="BY14" s="1"/>
      <c r="BZ14" s="1"/>
      <c r="CA14" s="1"/>
      <c r="CB14" s="1"/>
      <c r="CC14" s="1"/>
      <c r="CD14" s="1"/>
      <c r="CE14" s="1"/>
    </row>
    <row r="15" spans="1:83" ht="15.3" x14ac:dyDescent="0.55000000000000004">
      <c r="A15" s="661" t="s">
        <v>612</v>
      </c>
      <c r="B15" s="662"/>
      <c r="C15" s="662"/>
      <c r="D15" s="662"/>
      <c r="E15" s="662"/>
      <c r="F15" s="666"/>
      <c r="G15" s="667"/>
      <c r="H15" s="663" t="s">
        <v>300</v>
      </c>
      <c r="I15" s="664"/>
      <c r="J15" s="664"/>
      <c r="K15" s="664"/>
      <c r="L15" s="664"/>
      <c r="M15" s="664"/>
      <c r="N15" s="664"/>
      <c r="O15" s="665" t="s">
        <v>621</v>
      </c>
      <c r="P15" s="665"/>
      <c r="Q15" s="665"/>
      <c r="R15" s="665"/>
      <c r="S15" s="665"/>
      <c r="T15" s="658" t="s">
        <v>303</v>
      </c>
      <c r="U15" s="659"/>
      <c r="V15" s="659"/>
      <c r="W15" s="659"/>
      <c r="X15" s="660"/>
      <c r="Y15" s="771"/>
      <c r="Z15" s="771"/>
      <c r="AA15" s="771"/>
      <c r="AB15" s="37"/>
      <c r="AC15" s="1"/>
      <c r="AD15" s="1"/>
      <c r="AE15" s="1"/>
      <c r="AF15" s="1"/>
      <c r="AG15" s="1"/>
      <c r="AH15" s="1"/>
      <c r="AI15" s="1"/>
      <c r="AJ15" s="1"/>
      <c r="AK15" s="1"/>
      <c r="AL15" s="9"/>
      <c r="AM15" s="9" t="s">
        <v>159</v>
      </c>
      <c r="BC15" s="1">
        <v>12</v>
      </c>
      <c r="BD15" s="9" t="s">
        <v>262</v>
      </c>
      <c r="BG15" s="1" t="s">
        <v>31</v>
      </c>
      <c r="BH15" s="1"/>
      <c r="BI15" s="1"/>
      <c r="BJ15" s="1"/>
      <c r="BK15" s="1"/>
      <c r="BL15" s="1"/>
      <c r="BM15" s="1"/>
      <c r="BN15" s="1"/>
      <c r="BO15" s="1"/>
      <c r="BP15" s="1"/>
      <c r="BQ15" s="1" t="s">
        <v>79</v>
      </c>
      <c r="BR15" s="1"/>
      <c r="BS15" s="1"/>
      <c r="BT15">
        <v>13</v>
      </c>
      <c r="BU15" s="251" t="s">
        <v>552</v>
      </c>
      <c r="BV15" s="1"/>
      <c r="BW15" s="1"/>
      <c r="BX15" s="1"/>
      <c r="BY15" s="1"/>
      <c r="BZ15" s="1"/>
      <c r="CA15" s="1"/>
      <c r="CB15" s="1"/>
      <c r="CC15" s="1"/>
      <c r="CD15" s="1"/>
      <c r="CE15" s="1"/>
    </row>
    <row r="16" spans="1:83" ht="17.7" x14ac:dyDescent="0.6">
      <c r="A16" s="661" t="s">
        <v>12</v>
      </c>
      <c r="B16" s="662"/>
      <c r="C16" s="662"/>
      <c r="D16" s="662"/>
      <c r="E16" s="662"/>
      <c r="F16" s="295"/>
      <c r="G16" s="295"/>
      <c r="H16" s="295"/>
      <c r="I16" s="659" t="s">
        <v>13</v>
      </c>
      <c r="J16" s="660"/>
      <c r="K16" s="83"/>
      <c r="L16" s="84"/>
      <c r="M16" s="668" t="s">
        <v>14</v>
      </c>
      <c r="N16" s="669"/>
      <c r="O16" s="83"/>
      <c r="P16" s="85"/>
      <c r="Q16" s="673" t="s">
        <v>23</v>
      </c>
      <c r="R16" s="674"/>
      <c r="S16" s="674"/>
      <c r="T16" s="675"/>
      <c r="U16" s="556"/>
      <c r="V16" s="557"/>
      <c r="W16" s="557"/>
      <c r="X16" s="557"/>
      <c r="Y16" s="557"/>
      <c r="Z16" s="557"/>
      <c r="AA16" s="558"/>
      <c r="AB16" s="264"/>
      <c r="AC16" s="193"/>
      <c r="AD16" s="193"/>
      <c r="AE16" s="193" t="s">
        <v>633</v>
      </c>
      <c r="AF16" s="1"/>
      <c r="AG16" s="1"/>
      <c r="AH16" s="1"/>
      <c r="AI16" s="1"/>
      <c r="AJ16" s="1"/>
      <c r="AK16" s="1"/>
      <c r="AL16" s="9"/>
      <c r="AM16" s="9" t="s">
        <v>160</v>
      </c>
      <c r="BC16" s="1">
        <v>13</v>
      </c>
      <c r="BD16" s="9" t="s">
        <v>263</v>
      </c>
      <c r="BG16" s="1" t="s">
        <v>32</v>
      </c>
      <c r="BH16" s="1"/>
      <c r="BI16" s="1"/>
      <c r="BJ16" s="1"/>
      <c r="BK16" s="1"/>
      <c r="BL16" s="1"/>
      <c r="BM16" s="1"/>
      <c r="BN16" s="1"/>
      <c r="BO16" s="1"/>
      <c r="BP16" s="1"/>
      <c r="BQ16" s="1" t="s">
        <v>535</v>
      </c>
      <c r="BR16" s="1"/>
      <c r="BS16" s="1"/>
      <c r="BT16">
        <v>14</v>
      </c>
      <c r="BU16" s="251" t="s">
        <v>553</v>
      </c>
      <c r="BV16" s="1"/>
      <c r="BW16" s="1"/>
      <c r="BX16" s="1"/>
      <c r="BY16" s="1"/>
      <c r="BZ16" s="1"/>
      <c r="CA16" s="1"/>
      <c r="CB16" s="1"/>
      <c r="CC16" s="1"/>
      <c r="CD16" s="1"/>
      <c r="CE16" s="1"/>
    </row>
    <row r="17" spans="1:83" ht="17.399999999999999" x14ac:dyDescent="0.55000000000000004">
      <c r="A17" s="853" t="s">
        <v>609</v>
      </c>
      <c r="B17" s="854"/>
      <c r="C17" s="854"/>
      <c r="D17" s="854"/>
      <c r="E17" s="854"/>
      <c r="F17" s="854"/>
      <c r="G17" s="854"/>
      <c r="H17" s="854"/>
      <c r="I17" s="854"/>
      <c r="J17" s="854"/>
      <c r="K17" s="298"/>
      <c r="L17" s="298"/>
      <c r="M17" s="298"/>
      <c r="N17" s="298"/>
      <c r="O17" s="298"/>
      <c r="P17" s="298"/>
      <c r="Q17" s="298"/>
      <c r="R17" s="298"/>
      <c r="S17" s="298"/>
      <c r="T17" s="299"/>
      <c r="U17" s="297" t="s">
        <v>11</v>
      </c>
      <c r="V17" s="298"/>
      <c r="W17" s="298"/>
      <c r="X17" s="298"/>
      <c r="Y17" s="298"/>
      <c r="Z17" s="298"/>
      <c r="AA17" s="299"/>
      <c r="AB17" s="66"/>
      <c r="AE17" t="s">
        <v>634</v>
      </c>
      <c r="AF17" s="1"/>
      <c r="AG17" s="1"/>
      <c r="AH17" s="1"/>
      <c r="AI17" s="1"/>
      <c r="AJ17" s="1"/>
      <c r="AK17" s="1"/>
      <c r="AL17" s="10">
        <v>3</v>
      </c>
      <c r="AM17" s="9" t="s">
        <v>272</v>
      </c>
      <c r="AN17" s="62"/>
      <c r="BC17" s="1">
        <v>14</v>
      </c>
      <c r="BD17" s="9" t="s">
        <v>264</v>
      </c>
      <c r="BG17" s="1" t="s">
        <v>33</v>
      </c>
      <c r="BH17" s="1"/>
      <c r="BI17" s="1"/>
      <c r="BJ17" s="1"/>
      <c r="BK17" s="1"/>
      <c r="BL17" s="1"/>
      <c r="BM17" s="1"/>
      <c r="BN17" s="1"/>
      <c r="BO17" s="1"/>
      <c r="BP17" s="1"/>
      <c r="BQ17" s="1" t="s">
        <v>536</v>
      </c>
      <c r="BR17" s="1"/>
      <c r="BS17" s="1"/>
      <c r="BT17">
        <v>15</v>
      </c>
      <c r="BU17" s="251" t="s">
        <v>554</v>
      </c>
      <c r="BV17" s="1"/>
      <c r="BW17" s="1"/>
      <c r="BX17" s="1"/>
      <c r="BY17" s="1"/>
      <c r="BZ17" s="1"/>
      <c r="CA17" s="1"/>
      <c r="CB17" s="1"/>
      <c r="CC17" s="1"/>
      <c r="CD17" s="1"/>
      <c r="CE17" s="1"/>
    </row>
    <row r="18" spans="1:83" ht="17.399999999999999" x14ac:dyDescent="0.55000000000000004">
      <c r="A18" s="729"/>
      <c r="B18" s="729"/>
      <c r="C18" s="729"/>
      <c r="D18" s="729"/>
      <c r="E18" s="729"/>
      <c r="F18" s="729"/>
      <c r="G18" s="729"/>
      <c r="H18" s="729"/>
      <c r="I18" s="729"/>
      <c r="J18" s="729"/>
      <c r="K18" s="731"/>
      <c r="L18" s="731"/>
      <c r="M18" s="731"/>
      <c r="N18" s="731"/>
      <c r="O18" s="731"/>
      <c r="P18" s="731"/>
      <c r="Q18" s="731"/>
      <c r="R18" s="731"/>
      <c r="S18" s="731"/>
      <c r="T18" s="731"/>
      <c r="U18" s="677"/>
      <c r="V18" s="677"/>
      <c r="W18" s="677"/>
      <c r="X18" s="677"/>
      <c r="Y18" s="677"/>
      <c r="Z18" s="677"/>
      <c r="AA18" s="677"/>
      <c r="AB18" s="258"/>
      <c r="AC18" s="189"/>
      <c r="AD18" s="189"/>
      <c r="AE18" t="s">
        <v>635</v>
      </c>
      <c r="AF18" s="1"/>
      <c r="AG18" s="1"/>
      <c r="AH18" s="1"/>
      <c r="AI18" s="1"/>
      <c r="AJ18" s="1"/>
      <c r="AK18" s="1"/>
      <c r="AL18" s="9"/>
      <c r="AM18" s="61" t="s">
        <v>255</v>
      </c>
      <c r="BC18" s="1">
        <v>15</v>
      </c>
      <c r="BD18" s="9" t="s">
        <v>265</v>
      </c>
      <c r="BG18" s="1" t="s">
        <v>34</v>
      </c>
      <c r="BH18" s="1"/>
      <c r="BI18" s="1"/>
      <c r="BJ18" s="1"/>
      <c r="BK18" s="1"/>
      <c r="BL18" s="1"/>
      <c r="BM18" s="1"/>
      <c r="BN18" s="1"/>
      <c r="BO18" s="1"/>
      <c r="BP18" s="1"/>
      <c r="BQ18" s="1" t="s">
        <v>537</v>
      </c>
      <c r="BR18" s="1"/>
      <c r="BS18" s="1"/>
      <c r="BT18">
        <v>16</v>
      </c>
      <c r="BU18" s="251" t="s">
        <v>555</v>
      </c>
      <c r="BV18" s="1"/>
      <c r="BW18" s="1"/>
      <c r="BX18" s="1"/>
      <c r="BY18" s="1"/>
      <c r="BZ18" s="1"/>
      <c r="CA18" s="1"/>
      <c r="CB18" s="1"/>
      <c r="CC18" s="1"/>
      <c r="CD18" s="1"/>
      <c r="CE18" s="1"/>
    </row>
    <row r="19" spans="1:83" ht="15.75" customHeight="1" x14ac:dyDescent="0.6">
      <c r="A19" s="732" t="s">
        <v>622</v>
      </c>
      <c r="B19" s="732"/>
      <c r="C19" s="732"/>
      <c r="D19" s="732"/>
      <c r="E19" s="732"/>
      <c r="F19" s="732"/>
      <c r="G19" s="732"/>
      <c r="H19" s="732"/>
      <c r="I19" s="732"/>
      <c r="J19" s="732"/>
      <c r="K19" s="732"/>
      <c r="L19" s="732"/>
      <c r="M19" s="732"/>
      <c r="N19" s="726"/>
      <c r="O19" s="726"/>
      <c r="P19" s="732" t="s">
        <v>623</v>
      </c>
      <c r="Q19" s="732"/>
      <c r="R19" s="732"/>
      <c r="S19" s="732"/>
      <c r="T19" s="732"/>
      <c r="U19" s="732"/>
      <c r="V19" s="470"/>
      <c r="W19" s="470"/>
      <c r="X19" s="470"/>
      <c r="Y19" s="470"/>
      <c r="Z19" s="470"/>
      <c r="AA19" s="470"/>
      <c r="AB19" s="259"/>
      <c r="AC19" s="195"/>
      <c r="AD19" s="195"/>
      <c r="AE19" s="195"/>
      <c r="AF19" s="1"/>
      <c r="AG19" s="1"/>
      <c r="AH19" s="1"/>
      <c r="AI19" s="1"/>
      <c r="AJ19" s="1"/>
      <c r="AK19" s="1"/>
      <c r="AL19" s="9"/>
      <c r="AM19" s="62" t="s">
        <v>161</v>
      </c>
      <c r="BC19" s="1">
        <v>16</v>
      </c>
      <c r="BD19" s="9" t="s">
        <v>266</v>
      </c>
      <c r="BG19" s="1" t="s">
        <v>35</v>
      </c>
      <c r="BH19" s="1"/>
      <c r="BI19" s="1"/>
      <c r="BJ19" s="1"/>
      <c r="BK19" s="1"/>
      <c r="BL19" s="1"/>
      <c r="BM19" s="1"/>
      <c r="BN19" s="1"/>
      <c r="BO19" s="1"/>
      <c r="BP19" s="1"/>
      <c r="BQ19" s="1" t="s">
        <v>538</v>
      </c>
      <c r="BR19" s="1"/>
      <c r="BS19" s="1"/>
      <c r="BT19">
        <v>17</v>
      </c>
      <c r="BU19" s="251" t="s">
        <v>556</v>
      </c>
      <c r="BV19" s="1"/>
      <c r="BW19" s="1"/>
      <c r="BX19" s="1"/>
      <c r="BY19" s="1"/>
      <c r="BZ19" s="1"/>
      <c r="CA19" s="1"/>
      <c r="CB19" s="1"/>
      <c r="CC19" s="1"/>
      <c r="CD19" s="1"/>
      <c r="CE19" s="1"/>
    </row>
    <row r="20" spans="1:83" ht="15.75" customHeight="1" x14ac:dyDescent="0.55000000000000004">
      <c r="A20" s="732" t="s">
        <v>624</v>
      </c>
      <c r="B20" s="732"/>
      <c r="C20" s="732"/>
      <c r="D20" s="732"/>
      <c r="E20" s="732"/>
      <c r="F20" s="732"/>
      <c r="G20" s="732"/>
      <c r="H20" s="732"/>
      <c r="I20" s="732"/>
      <c r="J20" s="732"/>
      <c r="K20" s="732"/>
      <c r="L20" s="732"/>
      <c r="M20" s="732"/>
      <c r="N20" s="726"/>
      <c r="O20" s="726"/>
      <c r="P20" s="670" t="s">
        <v>639</v>
      </c>
      <c r="Q20" s="670"/>
      <c r="R20" s="670"/>
      <c r="S20" s="670"/>
      <c r="T20" s="470"/>
      <c r="U20" s="470"/>
      <c r="V20" s="470"/>
      <c r="W20" s="470"/>
      <c r="X20" s="470"/>
      <c r="Y20" s="470"/>
      <c r="Z20" s="470"/>
      <c r="AA20" s="470"/>
      <c r="AB20" s="258"/>
      <c r="AC20" s="189"/>
      <c r="AD20" s="189"/>
      <c r="AE20" s="189"/>
      <c r="AF20" s="1"/>
      <c r="AG20" s="1"/>
      <c r="AH20" s="1"/>
      <c r="AI20" s="1"/>
      <c r="AJ20" s="1"/>
      <c r="AK20" s="1"/>
      <c r="AL20" s="9"/>
      <c r="AM20" s="62" t="s">
        <v>162</v>
      </c>
      <c r="BC20" s="1">
        <v>17</v>
      </c>
      <c r="BD20" s="9" t="s">
        <v>267</v>
      </c>
      <c r="BG20" s="1" t="s">
        <v>36</v>
      </c>
      <c r="BH20" s="1"/>
      <c r="BI20" s="1"/>
      <c r="BJ20" s="1"/>
      <c r="BK20" s="1"/>
      <c r="BL20" s="1"/>
      <c r="BM20" s="1"/>
      <c r="BN20" s="1"/>
      <c r="BO20" s="1"/>
      <c r="BP20" s="1"/>
      <c r="BQ20" s="1" t="s">
        <v>82</v>
      </c>
      <c r="BR20" s="1"/>
      <c r="BS20" s="1"/>
      <c r="BT20">
        <v>18</v>
      </c>
      <c r="BU20" s="251" t="s">
        <v>557</v>
      </c>
      <c r="BV20" s="1"/>
      <c r="BW20" s="1"/>
      <c r="BX20" s="1"/>
      <c r="BY20" s="1"/>
      <c r="BZ20" s="1"/>
      <c r="CA20" s="1"/>
      <c r="CB20" s="1"/>
      <c r="CC20" s="1"/>
      <c r="CD20" s="1"/>
      <c r="CE20" s="1"/>
    </row>
    <row r="21" spans="1:83" ht="15.75" customHeight="1" x14ac:dyDescent="0.55000000000000004">
      <c r="A21" s="732" t="s">
        <v>625</v>
      </c>
      <c r="B21" s="732"/>
      <c r="C21" s="732"/>
      <c r="D21" s="732"/>
      <c r="E21" s="732"/>
      <c r="F21" s="732"/>
      <c r="G21" s="732"/>
      <c r="H21" s="732"/>
      <c r="I21" s="732"/>
      <c r="J21" s="732"/>
      <c r="K21" s="732"/>
      <c r="L21" s="732"/>
      <c r="M21" s="732"/>
      <c r="N21" s="726" t="s">
        <v>83</v>
      </c>
      <c r="O21" s="726"/>
      <c r="P21" s="732" t="s">
        <v>626</v>
      </c>
      <c r="Q21" s="732"/>
      <c r="R21" s="732"/>
      <c r="S21" s="732"/>
      <c r="T21" s="732"/>
      <c r="U21" s="470"/>
      <c r="V21" s="470"/>
      <c r="W21" s="470"/>
      <c r="X21" s="470"/>
      <c r="Y21" s="470"/>
      <c r="Z21" s="470"/>
      <c r="AA21" s="470"/>
      <c r="AB21" s="260"/>
      <c r="AC21" s="196"/>
      <c r="AD21" s="196"/>
      <c r="AE21" s="196"/>
      <c r="AF21" s="1"/>
      <c r="AG21" s="1"/>
      <c r="AH21" s="1"/>
      <c r="AI21" s="1"/>
      <c r="AJ21" s="1"/>
      <c r="AK21" s="1"/>
      <c r="AL21" s="10">
        <v>4</v>
      </c>
      <c r="AM21" s="62" t="s">
        <v>163</v>
      </c>
      <c r="BG21" s="1" t="s">
        <v>37</v>
      </c>
      <c r="BH21" s="1"/>
      <c r="BI21" s="1"/>
      <c r="BJ21" s="1"/>
      <c r="BK21" s="1"/>
      <c r="BL21" s="1"/>
      <c r="BM21" s="1"/>
      <c r="BN21" s="1"/>
      <c r="BO21" s="1"/>
      <c r="BP21" s="1"/>
      <c r="BR21" s="1"/>
      <c r="BS21" s="1"/>
      <c r="BT21">
        <v>19</v>
      </c>
      <c r="BU21" s="251" t="s">
        <v>558</v>
      </c>
      <c r="BV21" s="1"/>
      <c r="BW21" s="1"/>
      <c r="BX21" s="1"/>
      <c r="BY21" s="1"/>
      <c r="BZ21" s="1"/>
      <c r="CA21" s="1"/>
      <c r="CB21" s="1"/>
      <c r="CC21" s="1"/>
      <c r="CD21" s="1"/>
      <c r="CE21" s="1"/>
    </row>
    <row r="22" spans="1:83" ht="18.75" customHeight="1" x14ac:dyDescent="0.55000000000000004">
      <c r="A22" s="774" t="s">
        <v>15</v>
      </c>
      <c r="B22" s="775"/>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5"/>
      <c r="AA22" s="776"/>
      <c r="AB22" s="261"/>
      <c r="AC22" s="197"/>
      <c r="AD22" s="197"/>
      <c r="AE22" s="197"/>
      <c r="AF22" s="1"/>
      <c r="AG22" s="1"/>
      <c r="AH22" s="1"/>
      <c r="AI22" s="1"/>
      <c r="AJ22" s="1"/>
      <c r="AK22" s="1"/>
      <c r="AL22" s="9"/>
      <c r="AM22" s="62" t="s">
        <v>164</v>
      </c>
      <c r="BG22" s="1" t="s">
        <v>38</v>
      </c>
      <c r="BH22" s="1"/>
      <c r="BI22" s="1"/>
      <c r="BJ22" s="1"/>
      <c r="BK22" s="1"/>
      <c r="BL22" s="1"/>
      <c r="BM22" s="1"/>
      <c r="BN22" s="1"/>
      <c r="BO22" s="1"/>
      <c r="BP22" s="1"/>
      <c r="BR22" s="1"/>
      <c r="BS22" s="1"/>
      <c r="BT22">
        <v>20</v>
      </c>
      <c r="BU22" s="251" t="s">
        <v>559</v>
      </c>
      <c r="BV22" s="1"/>
      <c r="BW22" s="1"/>
      <c r="BX22" s="1"/>
      <c r="BY22" s="1"/>
      <c r="BZ22" s="1"/>
      <c r="CA22" s="1"/>
      <c r="CB22" s="1"/>
      <c r="CC22" s="1"/>
      <c r="CD22" s="1"/>
      <c r="CE22" s="1"/>
    </row>
    <row r="23" spans="1:83" ht="15.3" x14ac:dyDescent="0.55000000000000004">
      <c r="A23" s="296" t="s">
        <v>608</v>
      </c>
      <c r="B23" s="300"/>
      <c r="C23" s="300"/>
      <c r="D23" s="300"/>
      <c r="E23" s="300"/>
      <c r="F23" s="300"/>
      <c r="G23" s="729"/>
      <c r="H23" s="729"/>
      <c r="I23" s="729"/>
      <c r="J23" s="729"/>
      <c r="K23" s="729"/>
      <c r="L23" s="729"/>
      <c r="M23" s="729"/>
      <c r="N23" s="729"/>
      <c r="O23" s="729"/>
      <c r="P23" s="729"/>
      <c r="Q23" s="729"/>
      <c r="R23" s="729"/>
      <c r="S23" s="734" t="s">
        <v>611</v>
      </c>
      <c r="T23" s="734"/>
      <c r="U23" s="734"/>
      <c r="V23" s="734"/>
      <c r="W23" s="734"/>
      <c r="X23" s="735"/>
      <c r="Y23" s="735"/>
      <c r="Z23" s="735"/>
      <c r="AA23" s="735"/>
      <c r="AB23" s="262"/>
      <c r="AC23" s="3"/>
      <c r="AD23" s="3"/>
      <c r="AE23" s="3"/>
      <c r="AF23" s="1"/>
      <c r="AG23" s="1"/>
      <c r="AH23" s="1"/>
      <c r="AI23" s="1"/>
      <c r="AJ23" s="1"/>
      <c r="AK23" s="1"/>
      <c r="AL23" s="9"/>
      <c r="AM23" s="62" t="s">
        <v>165</v>
      </c>
      <c r="BG23" s="1" t="s">
        <v>39</v>
      </c>
      <c r="BH23" s="1"/>
      <c r="BI23" s="1"/>
      <c r="BJ23" s="1"/>
      <c r="BK23" s="1"/>
      <c r="BL23" s="1"/>
      <c r="BM23" s="1"/>
      <c r="BN23" s="1"/>
      <c r="BO23" s="1"/>
      <c r="BP23" s="1"/>
      <c r="BR23" s="1"/>
      <c r="BS23" s="1"/>
      <c r="BT23">
        <v>21</v>
      </c>
      <c r="BU23" s="251" t="s">
        <v>560</v>
      </c>
      <c r="BV23" s="1"/>
      <c r="BW23" s="1"/>
      <c r="BX23" s="1"/>
      <c r="BY23" s="1"/>
      <c r="BZ23" s="1"/>
      <c r="CA23" s="1"/>
      <c r="CB23" s="1"/>
      <c r="CC23" s="1"/>
      <c r="CD23" s="1"/>
      <c r="CE23" s="1"/>
    </row>
    <row r="24" spans="1:83" ht="15.3" x14ac:dyDescent="0.55000000000000004">
      <c r="A24" s="676" t="s">
        <v>16</v>
      </c>
      <c r="B24" s="676"/>
      <c r="C24" s="676"/>
      <c r="D24" s="676"/>
      <c r="E24" s="729"/>
      <c r="F24" s="729"/>
      <c r="G24" s="729"/>
      <c r="H24" s="729"/>
      <c r="I24" s="729"/>
      <c r="J24" s="729"/>
      <c r="K24" s="296" t="s">
        <v>6</v>
      </c>
      <c r="L24" s="296"/>
      <c r="M24" s="296"/>
      <c r="N24" s="296"/>
      <c r="O24" s="296"/>
      <c r="P24" s="296"/>
      <c r="Q24" s="733"/>
      <c r="R24" s="733"/>
      <c r="S24" s="733"/>
      <c r="T24" s="733"/>
      <c r="U24" s="733"/>
      <c r="V24" s="733"/>
      <c r="W24" s="733"/>
      <c r="X24" s="733"/>
      <c r="Y24" s="733"/>
      <c r="Z24" s="733"/>
      <c r="AA24" s="733"/>
      <c r="AB24" s="260"/>
      <c r="AC24" s="196"/>
      <c r="AD24" s="196"/>
      <c r="AE24" s="196"/>
      <c r="AF24" s="1"/>
      <c r="AG24" s="1"/>
      <c r="AH24" s="1"/>
      <c r="AI24" s="1"/>
      <c r="AJ24" s="1"/>
      <c r="AK24" s="1"/>
      <c r="AL24" s="9"/>
      <c r="AM24" s="62" t="s">
        <v>166</v>
      </c>
      <c r="BG24" s="1"/>
      <c r="BH24" s="1"/>
      <c r="BI24" s="1"/>
      <c r="BJ24" s="1"/>
      <c r="BK24" s="1"/>
      <c r="BL24" s="1"/>
      <c r="BM24" s="1"/>
      <c r="BN24" s="1"/>
      <c r="BO24" s="1"/>
      <c r="BP24" s="1"/>
      <c r="BQ24" s="1" t="s">
        <v>302</v>
      </c>
      <c r="BR24" s="1"/>
      <c r="BS24" s="1"/>
      <c r="BT24">
        <v>22</v>
      </c>
      <c r="BU24" s="251" t="s">
        <v>561</v>
      </c>
      <c r="BV24" s="1"/>
      <c r="BW24" s="1"/>
      <c r="BX24" s="1"/>
      <c r="BY24" s="1"/>
      <c r="BZ24" s="1"/>
      <c r="CA24" s="1"/>
      <c r="CB24" s="1"/>
      <c r="CC24" s="1"/>
      <c r="CD24" s="1"/>
      <c r="CE24" s="1"/>
    </row>
    <row r="25" spans="1:83" ht="18.75" customHeight="1" x14ac:dyDescent="0.55000000000000004">
      <c r="A25" s="676" t="s">
        <v>610</v>
      </c>
      <c r="B25" s="676"/>
      <c r="C25" s="676"/>
      <c r="D25" s="676"/>
      <c r="E25" s="676"/>
      <c r="F25" s="676"/>
      <c r="G25" s="729"/>
      <c r="H25" s="729"/>
      <c r="I25" s="729"/>
      <c r="J25" s="729"/>
      <c r="K25" s="729"/>
      <c r="L25" s="729"/>
      <c r="M25" s="729"/>
      <c r="N25" s="729"/>
      <c r="O25" s="729"/>
      <c r="P25" s="729"/>
      <c r="Q25" s="729"/>
      <c r="R25" s="729"/>
      <c r="S25" s="734" t="s">
        <v>611</v>
      </c>
      <c r="T25" s="734"/>
      <c r="U25" s="734"/>
      <c r="V25" s="734"/>
      <c r="W25" s="734"/>
      <c r="X25" s="729"/>
      <c r="Y25" s="729"/>
      <c r="Z25" s="729"/>
      <c r="AA25" s="729"/>
      <c r="AB25" s="261"/>
      <c r="AC25" s="197"/>
      <c r="AD25" s="197"/>
      <c r="AE25" s="197"/>
      <c r="AF25" s="1"/>
      <c r="AG25" s="1"/>
      <c r="AH25" s="1"/>
      <c r="AI25" s="1"/>
      <c r="AJ25" s="1"/>
      <c r="AK25" s="1"/>
      <c r="AL25" s="9"/>
      <c r="AM25" s="62" t="s">
        <v>167</v>
      </c>
      <c r="BG25" s="1"/>
      <c r="BH25" s="1"/>
      <c r="BI25" s="1"/>
      <c r="BJ25" s="1"/>
      <c r="BK25" s="1"/>
      <c r="BL25" s="1"/>
      <c r="BM25" s="1"/>
      <c r="BN25" s="1"/>
      <c r="BO25" s="1"/>
      <c r="BP25" s="1"/>
      <c r="BQ25" s="1" t="s">
        <v>301</v>
      </c>
      <c r="BR25" s="1"/>
      <c r="BS25" s="1"/>
      <c r="BT25">
        <v>23</v>
      </c>
      <c r="BU25" s="251" t="s">
        <v>562</v>
      </c>
      <c r="BV25" s="1"/>
      <c r="BW25" s="1"/>
      <c r="BX25" s="1"/>
      <c r="BY25" s="1"/>
      <c r="BZ25" s="1"/>
      <c r="CA25" s="1"/>
      <c r="CB25" s="1"/>
      <c r="CC25" s="1"/>
      <c r="CD25" s="1"/>
      <c r="CE25" s="1"/>
    </row>
    <row r="26" spans="1:83" ht="15.3" x14ac:dyDescent="0.55000000000000004">
      <c r="A26" s="676" t="s">
        <v>16</v>
      </c>
      <c r="B26" s="676"/>
      <c r="C26" s="676"/>
      <c r="D26" s="676"/>
      <c r="E26" s="729"/>
      <c r="F26" s="729"/>
      <c r="G26" s="729"/>
      <c r="H26" s="729"/>
      <c r="I26" s="729"/>
      <c r="J26" s="729"/>
      <c r="K26" s="296" t="s">
        <v>6</v>
      </c>
      <c r="L26" s="296"/>
      <c r="M26" s="296"/>
      <c r="N26" s="296"/>
      <c r="O26" s="296"/>
      <c r="P26" s="296"/>
      <c r="Q26" s="733"/>
      <c r="R26" s="733"/>
      <c r="S26" s="733"/>
      <c r="T26" s="733"/>
      <c r="U26" s="733"/>
      <c r="V26" s="733"/>
      <c r="W26" s="733"/>
      <c r="X26" s="733"/>
      <c r="Y26" s="733"/>
      <c r="Z26" s="733"/>
      <c r="AA26" s="733"/>
      <c r="AB26" s="262"/>
      <c r="AC26" s="3"/>
      <c r="AD26" s="3"/>
      <c r="AE26" s="3"/>
      <c r="AF26" s="1"/>
      <c r="AG26" s="1"/>
      <c r="AH26" s="1"/>
      <c r="AI26" s="1"/>
      <c r="AJ26" s="1"/>
      <c r="AK26" s="1"/>
      <c r="AL26" s="9"/>
      <c r="AM26" s="62" t="s">
        <v>168</v>
      </c>
      <c r="BG26" s="3" t="s">
        <v>41</v>
      </c>
      <c r="BH26" s="1"/>
      <c r="BI26" s="1"/>
      <c r="BJ26" s="1"/>
      <c r="BK26" s="1"/>
      <c r="BL26" s="1"/>
      <c r="BM26" s="1"/>
      <c r="BN26" s="1"/>
      <c r="BO26" s="1"/>
      <c r="BP26" s="1"/>
      <c r="BQ26" s="1" t="s">
        <v>304</v>
      </c>
      <c r="BR26" s="1"/>
      <c r="BS26" s="1"/>
      <c r="BT26">
        <v>24</v>
      </c>
      <c r="BU26" s="251" t="s">
        <v>563</v>
      </c>
      <c r="BV26" s="1"/>
      <c r="BW26" s="1"/>
      <c r="BX26" s="1"/>
      <c r="BY26" s="1"/>
      <c r="BZ26" s="1"/>
      <c r="CA26" s="1"/>
      <c r="CB26" s="1"/>
      <c r="CC26" s="1"/>
      <c r="CD26" s="1"/>
      <c r="CE26" s="1"/>
    </row>
    <row r="27" spans="1:83" ht="17.399999999999999" x14ac:dyDescent="0.55000000000000004">
      <c r="A27" s="777" t="s">
        <v>17</v>
      </c>
      <c r="B27" s="778"/>
      <c r="C27" s="778"/>
      <c r="D27" s="778"/>
      <c r="E27" s="778"/>
      <c r="F27" s="778"/>
      <c r="G27" s="778"/>
      <c r="H27" s="778"/>
      <c r="I27" s="778"/>
      <c r="J27" s="778"/>
      <c r="K27" s="778"/>
      <c r="L27" s="778"/>
      <c r="M27" s="778"/>
      <c r="N27" s="778"/>
      <c r="O27" s="778"/>
      <c r="P27" s="778"/>
      <c r="Q27" s="778"/>
      <c r="R27" s="778"/>
      <c r="S27" s="778"/>
      <c r="T27" s="778"/>
      <c r="U27" s="778"/>
      <c r="V27" s="778"/>
      <c r="W27" s="778"/>
      <c r="X27" s="778"/>
      <c r="Y27" s="778"/>
      <c r="Z27" s="778"/>
      <c r="AA27" s="779"/>
      <c r="AB27" s="258"/>
      <c r="AC27" s="189"/>
      <c r="AD27" s="189"/>
      <c r="AE27" s="189"/>
      <c r="AF27" s="1"/>
      <c r="AG27" s="1"/>
      <c r="AH27" s="1"/>
      <c r="AI27" s="1"/>
      <c r="AJ27" s="1"/>
      <c r="AK27" s="1"/>
      <c r="AL27" s="9"/>
      <c r="AM27" s="62" t="s">
        <v>169</v>
      </c>
      <c r="BG27" s="3" t="s">
        <v>40</v>
      </c>
      <c r="BH27" s="1"/>
      <c r="BI27" s="1"/>
      <c r="BJ27" s="1"/>
      <c r="BK27" s="1"/>
      <c r="BL27" s="1"/>
      <c r="BM27" s="1"/>
      <c r="BN27" s="1"/>
      <c r="BO27" s="1"/>
      <c r="BP27" s="1"/>
      <c r="BQ27" s="1" t="s">
        <v>305</v>
      </c>
      <c r="BR27" s="1"/>
      <c r="BS27" s="1"/>
      <c r="BT27">
        <v>25</v>
      </c>
      <c r="BU27" s="251" t="s">
        <v>564</v>
      </c>
      <c r="BV27" s="1"/>
      <c r="BW27" s="1"/>
      <c r="BX27" s="1"/>
      <c r="BY27" s="1"/>
      <c r="BZ27" s="1"/>
      <c r="CA27" s="1"/>
      <c r="CB27" s="1"/>
      <c r="CC27" s="1"/>
      <c r="CD27" s="1"/>
      <c r="CE27" s="1"/>
    </row>
    <row r="28" spans="1:83" ht="17.399999999999999" x14ac:dyDescent="0.55000000000000004">
      <c r="A28" s="676" t="s">
        <v>18</v>
      </c>
      <c r="B28" s="676"/>
      <c r="C28" s="676"/>
      <c r="D28" s="676"/>
      <c r="E28" s="676"/>
      <c r="F28" s="676"/>
      <c r="G28" s="676"/>
      <c r="H28" s="676"/>
      <c r="I28" s="728"/>
      <c r="J28" s="729"/>
      <c r="K28" s="729"/>
      <c r="L28" s="729"/>
      <c r="M28" s="729"/>
      <c r="N28" s="676" t="s">
        <v>19</v>
      </c>
      <c r="O28" s="676"/>
      <c r="P28" s="676"/>
      <c r="Q28" s="676"/>
      <c r="R28" s="730" t="s">
        <v>82</v>
      </c>
      <c r="S28" s="730"/>
      <c r="T28" s="730"/>
      <c r="U28" s="730"/>
      <c r="V28" s="730"/>
      <c r="W28" s="730"/>
      <c r="X28" s="730"/>
      <c r="Y28" s="730"/>
      <c r="Z28" s="730"/>
      <c r="AA28" s="730"/>
      <c r="AB28" s="198"/>
      <c r="AC28" s="198"/>
      <c r="AD28" s="198"/>
      <c r="AE28" s="198"/>
      <c r="AF28" s="1"/>
      <c r="AG28" s="1"/>
      <c r="AH28" s="1"/>
      <c r="AI28" s="1"/>
      <c r="AJ28" s="1"/>
      <c r="AK28" s="1"/>
      <c r="AL28" s="9"/>
      <c r="AM28" s="62" t="s">
        <v>170</v>
      </c>
      <c r="BG28" s="3" t="s">
        <v>42</v>
      </c>
      <c r="BH28" s="1"/>
      <c r="BI28" s="1"/>
      <c r="BJ28" s="1"/>
      <c r="BK28" s="1"/>
      <c r="BL28" s="1"/>
      <c r="BM28" s="1"/>
      <c r="BN28" s="1"/>
      <c r="BO28" s="1"/>
      <c r="BP28" s="1"/>
      <c r="BQ28" s="1"/>
      <c r="BR28" s="1"/>
      <c r="BS28" s="1"/>
      <c r="BT28">
        <v>26</v>
      </c>
      <c r="BU28" s="3" t="s">
        <v>565</v>
      </c>
      <c r="BV28" s="1"/>
      <c r="BW28" s="1"/>
      <c r="BX28" s="1"/>
      <c r="BY28" s="1"/>
      <c r="BZ28" s="1"/>
      <c r="CA28" s="1"/>
      <c r="CB28" s="1"/>
      <c r="CC28" s="1"/>
      <c r="CD28" s="1"/>
      <c r="CE28" s="1"/>
    </row>
    <row r="29" spans="1:83" ht="18.75" customHeight="1" x14ac:dyDescent="0.55000000000000004">
      <c r="A29" s="676" t="s">
        <v>20</v>
      </c>
      <c r="B29" s="676"/>
      <c r="C29" s="676"/>
      <c r="D29" s="676"/>
      <c r="E29" s="676"/>
      <c r="F29" s="676"/>
      <c r="G29" s="676"/>
      <c r="H29" s="676"/>
      <c r="I29" s="728"/>
      <c r="J29" s="729"/>
      <c r="K29" s="729"/>
      <c r="L29" s="729"/>
      <c r="M29" s="729"/>
      <c r="N29" s="676" t="s">
        <v>19</v>
      </c>
      <c r="O29" s="676"/>
      <c r="P29" s="676"/>
      <c r="Q29" s="676"/>
      <c r="R29" s="727"/>
      <c r="S29" s="727"/>
      <c r="T29" s="727"/>
      <c r="U29" s="727"/>
      <c r="V29" s="727"/>
      <c r="W29" s="727"/>
      <c r="X29" s="727"/>
      <c r="Y29" s="727"/>
      <c r="Z29" s="727"/>
      <c r="AA29" s="727"/>
      <c r="AC29" s="199"/>
      <c r="AD29" s="199"/>
      <c r="AE29" s="199"/>
      <c r="AF29" s="1"/>
      <c r="AG29" s="1"/>
      <c r="AH29" s="1"/>
      <c r="AI29" s="1"/>
      <c r="AJ29" s="1"/>
      <c r="AK29" s="1"/>
      <c r="AL29" s="9"/>
      <c r="AM29" s="62" t="s">
        <v>171</v>
      </c>
      <c r="BG29" s="3" t="s">
        <v>43</v>
      </c>
      <c r="BH29" s="1"/>
      <c r="BI29" s="1"/>
      <c r="BJ29" s="1"/>
      <c r="BK29" s="1"/>
      <c r="BL29" s="1"/>
      <c r="BM29" s="1"/>
      <c r="BN29" s="1"/>
      <c r="BO29" s="1"/>
      <c r="BP29" s="1"/>
      <c r="BQ29" s="1" t="s">
        <v>306</v>
      </c>
      <c r="BR29" s="1"/>
      <c r="BS29" s="1"/>
      <c r="BT29">
        <v>27</v>
      </c>
      <c r="BU29" s="251" t="s">
        <v>566</v>
      </c>
      <c r="BV29" s="1"/>
      <c r="BW29" s="1"/>
      <c r="BX29" s="1"/>
      <c r="BY29" s="1"/>
      <c r="BZ29" s="1"/>
      <c r="CA29" s="1"/>
      <c r="CB29" s="1"/>
      <c r="CC29" s="1"/>
      <c r="CD29" s="1"/>
      <c r="CE29" s="1"/>
    </row>
    <row r="30" spans="1:83" ht="15.3" x14ac:dyDescent="0.55000000000000004">
      <c r="A30" s="676" t="s">
        <v>21</v>
      </c>
      <c r="B30" s="676"/>
      <c r="C30" s="676"/>
      <c r="D30" s="676"/>
      <c r="E30" s="676"/>
      <c r="F30" s="676"/>
      <c r="G30" s="676"/>
      <c r="H30" s="676"/>
      <c r="I30" s="676"/>
      <c r="J30" s="676"/>
      <c r="K30" s="676"/>
      <c r="L30" s="676"/>
      <c r="M30" s="676"/>
      <c r="N30" s="710"/>
      <c r="O30" s="710"/>
      <c r="P30" s="710"/>
      <c r="Q30" s="710"/>
      <c r="R30" s="710"/>
      <c r="S30" s="710"/>
      <c r="T30" s="710"/>
      <c r="U30" s="710"/>
      <c r="V30" s="710"/>
      <c r="W30" s="710"/>
      <c r="X30" s="710"/>
      <c r="Y30" s="710"/>
      <c r="Z30" s="710"/>
      <c r="AA30" s="710"/>
      <c r="AB30" s="262"/>
      <c r="AC30" s="3"/>
      <c r="AD30" s="3"/>
      <c r="AE30" s="3"/>
      <c r="AF30" s="1"/>
      <c r="AG30" s="1"/>
      <c r="AH30" s="1"/>
      <c r="AI30" s="1"/>
      <c r="AJ30" s="1"/>
      <c r="AK30" s="1"/>
      <c r="AL30" s="9"/>
      <c r="AM30" s="62" t="s">
        <v>172</v>
      </c>
      <c r="BD30" s="17"/>
      <c r="BG30" s="3" t="s">
        <v>44</v>
      </c>
      <c r="BH30" s="1"/>
      <c r="BI30" s="1"/>
      <c r="BJ30" s="1"/>
      <c r="BK30" s="1"/>
      <c r="BL30" s="1"/>
      <c r="BM30" s="1"/>
      <c r="BN30" s="1"/>
      <c r="BO30" s="1"/>
      <c r="BP30" s="1"/>
      <c r="BQ30" s="1" t="s">
        <v>311</v>
      </c>
      <c r="BR30" s="1"/>
      <c r="BS30" s="1"/>
      <c r="BT30">
        <v>28</v>
      </c>
      <c r="BU30" s="251" t="s">
        <v>567</v>
      </c>
      <c r="BV30" s="1"/>
      <c r="BW30" s="1"/>
      <c r="BX30" s="1"/>
      <c r="BY30" s="1"/>
      <c r="BZ30" s="1"/>
      <c r="CA30" s="1"/>
      <c r="CB30" s="1"/>
      <c r="CC30" s="1"/>
      <c r="CD30" s="1"/>
      <c r="CE30" s="1"/>
    </row>
    <row r="31" spans="1:83" ht="15.3" x14ac:dyDescent="0.55000000000000004">
      <c r="A31" s="676" t="s">
        <v>21</v>
      </c>
      <c r="B31" s="676"/>
      <c r="C31" s="676"/>
      <c r="D31" s="676"/>
      <c r="E31" s="676"/>
      <c r="F31" s="676"/>
      <c r="G31" s="676"/>
      <c r="H31" s="676"/>
      <c r="I31" s="676"/>
      <c r="J31" s="676"/>
      <c r="K31" s="676"/>
      <c r="L31" s="676"/>
      <c r="M31" s="676"/>
      <c r="N31" s="710"/>
      <c r="O31" s="710"/>
      <c r="P31" s="710"/>
      <c r="Q31" s="710"/>
      <c r="R31" s="710"/>
      <c r="S31" s="710"/>
      <c r="T31" s="710"/>
      <c r="U31" s="710"/>
      <c r="V31" s="710"/>
      <c r="W31" s="710"/>
      <c r="X31" s="710"/>
      <c r="Y31" s="710"/>
      <c r="Z31" s="710"/>
      <c r="AA31" s="710"/>
      <c r="AB31" s="262"/>
      <c r="AC31" s="3"/>
      <c r="AD31" s="3"/>
      <c r="AE31" s="3"/>
      <c r="AF31" s="1"/>
      <c r="AG31" s="1"/>
      <c r="AH31" s="1"/>
      <c r="AI31" s="1"/>
      <c r="AJ31" s="1"/>
      <c r="AK31" s="1"/>
      <c r="AL31" s="9"/>
      <c r="AM31" s="61" t="s">
        <v>256</v>
      </c>
      <c r="BD31" s="17"/>
      <c r="BG31" s="3" t="s">
        <v>45</v>
      </c>
      <c r="BH31" s="1"/>
      <c r="BI31" s="1"/>
      <c r="BJ31" s="1"/>
      <c r="BK31" s="1"/>
      <c r="BL31" s="1"/>
      <c r="BM31" s="1"/>
      <c r="BN31" s="1"/>
      <c r="BO31" s="1"/>
      <c r="BP31" s="1"/>
      <c r="BQ31" s="1" t="s">
        <v>307</v>
      </c>
      <c r="BR31" s="1"/>
      <c r="BS31" s="1"/>
      <c r="BT31">
        <v>29</v>
      </c>
      <c r="BU31" s="251" t="s">
        <v>568</v>
      </c>
      <c r="BV31" s="1"/>
      <c r="BW31" s="1"/>
      <c r="BX31" s="1"/>
      <c r="BY31" s="1"/>
      <c r="BZ31" s="1"/>
      <c r="CA31" s="1"/>
      <c r="CB31" s="1"/>
      <c r="CC31" s="1"/>
      <c r="CD31" s="1"/>
      <c r="CE31" s="1"/>
    </row>
    <row r="32" spans="1:83" ht="15.3" x14ac:dyDescent="0.55000000000000004">
      <c r="A32" s="676" t="s">
        <v>22</v>
      </c>
      <c r="B32" s="676"/>
      <c r="C32" s="676"/>
      <c r="D32" s="676"/>
      <c r="E32" s="676"/>
      <c r="F32" s="676"/>
      <c r="G32" s="676"/>
      <c r="H32" s="676"/>
      <c r="I32" s="676"/>
      <c r="J32" s="676"/>
      <c r="K32" s="676"/>
      <c r="L32" s="676"/>
      <c r="M32" s="676"/>
      <c r="N32" s="710"/>
      <c r="O32" s="710"/>
      <c r="P32" s="710"/>
      <c r="Q32" s="710"/>
      <c r="R32" s="710"/>
      <c r="S32" s="710"/>
      <c r="T32" s="710"/>
      <c r="U32" s="710"/>
      <c r="V32" s="710"/>
      <c r="W32" s="710"/>
      <c r="X32" s="710"/>
      <c r="Y32" s="710"/>
      <c r="Z32" s="710"/>
      <c r="AA32" s="710"/>
      <c r="AB32" s="262"/>
      <c r="AC32" s="3"/>
      <c r="AD32" s="3"/>
      <c r="AE32" s="3"/>
      <c r="AF32" s="1"/>
      <c r="AG32" s="1"/>
      <c r="AH32" s="1"/>
      <c r="AI32" s="1"/>
      <c r="AJ32" s="1"/>
      <c r="AK32" s="1"/>
      <c r="AL32" s="9"/>
      <c r="AM32" s="62" t="s">
        <v>173</v>
      </c>
      <c r="BG32" s="3" t="s">
        <v>46</v>
      </c>
      <c r="BH32" s="1"/>
      <c r="BI32" s="1"/>
      <c r="BJ32" s="1"/>
      <c r="BK32" s="1"/>
      <c r="BL32" s="1"/>
      <c r="BM32" s="1"/>
      <c r="BN32" s="1"/>
      <c r="BO32" s="1"/>
      <c r="BP32" s="1"/>
      <c r="BQ32" s="1" t="s">
        <v>309</v>
      </c>
      <c r="BR32" s="1"/>
      <c r="BS32" s="1"/>
      <c r="BT32">
        <v>30</v>
      </c>
      <c r="BU32" s="251" t="s">
        <v>569</v>
      </c>
      <c r="BV32" s="1"/>
      <c r="BW32" s="1"/>
      <c r="BX32" s="1"/>
      <c r="BY32" s="1"/>
      <c r="BZ32" s="1"/>
      <c r="CA32" s="1"/>
      <c r="CB32" s="1"/>
      <c r="CC32" s="1"/>
      <c r="CD32" s="1"/>
      <c r="CE32" s="1"/>
    </row>
    <row r="33" spans="1:84" ht="15.3" x14ac:dyDescent="0.55000000000000004">
      <c r="A33" s="676" t="s">
        <v>22</v>
      </c>
      <c r="B33" s="676"/>
      <c r="C33" s="676"/>
      <c r="D33" s="676"/>
      <c r="E33" s="676"/>
      <c r="F33" s="676"/>
      <c r="G33" s="676"/>
      <c r="H33" s="676"/>
      <c r="I33" s="676"/>
      <c r="J33" s="676"/>
      <c r="K33" s="676"/>
      <c r="L33" s="676"/>
      <c r="M33" s="676"/>
      <c r="N33" s="710"/>
      <c r="O33" s="710"/>
      <c r="P33" s="710"/>
      <c r="Q33" s="710"/>
      <c r="R33" s="710"/>
      <c r="S33" s="710"/>
      <c r="T33" s="710"/>
      <c r="U33" s="710"/>
      <c r="V33" s="710"/>
      <c r="W33" s="710"/>
      <c r="X33" s="710"/>
      <c r="Y33" s="710"/>
      <c r="Z33" s="710"/>
      <c r="AA33" s="710"/>
      <c r="AB33" s="262"/>
      <c r="AC33" s="3"/>
      <c r="AD33" s="3"/>
      <c r="AE33" s="3"/>
      <c r="AF33" s="1"/>
      <c r="AG33" s="1"/>
      <c r="AH33" s="1"/>
      <c r="AI33" s="1"/>
      <c r="AJ33" s="1"/>
      <c r="AK33" s="1"/>
      <c r="AL33" s="9"/>
      <c r="AM33" s="62" t="s">
        <v>174</v>
      </c>
      <c r="BG33" s="1"/>
      <c r="BH33" s="1"/>
      <c r="BI33" s="1"/>
      <c r="BJ33" s="1"/>
      <c r="BK33" s="1"/>
      <c r="BL33" s="1"/>
      <c r="BM33" s="1"/>
      <c r="BN33" s="1"/>
      <c r="BO33" s="1"/>
      <c r="BP33" s="1"/>
      <c r="BQ33" s="1" t="s">
        <v>308</v>
      </c>
      <c r="BR33" s="1"/>
      <c r="BS33" s="1"/>
      <c r="BT33">
        <v>31</v>
      </c>
      <c r="BU33" s="251" t="s">
        <v>570</v>
      </c>
      <c r="BV33" s="1"/>
      <c r="BW33" s="1"/>
      <c r="BX33" s="1"/>
      <c r="BY33" s="1"/>
      <c r="BZ33" s="1"/>
      <c r="CA33" s="1"/>
      <c r="CB33" s="1"/>
      <c r="CC33" s="1"/>
      <c r="CD33" s="1"/>
      <c r="CE33" s="1"/>
    </row>
    <row r="34" spans="1:84" ht="15.3" x14ac:dyDescent="0.55000000000000004">
      <c r="A34" s="484"/>
      <c r="B34" s="484"/>
      <c r="C34" s="484"/>
      <c r="D34" s="484"/>
      <c r="E34" s="484"/>
      <c r="F34" s="484"/>
      <c r="G34" s="484"/>
      <c r="H34" s="484"/>
      <c r="I34" s="484"/>
      <c r="J34" s="484"/>
      <c r="K34" s="484"/>
      <c r="L34" s="484"/>
      <c r="M34" s="484"/>
      <c r="N34" s="484"/>
      <c r="O34" s="484"/>
      <c r="P34" s="484"/>
      <c r="Q34" s="484"/>
      <c r="R34" s="484"/>
      <c r="S34" s="484"/>
      <c r="T34" s="484"/>
      <c r="U34" s="484"/>
      <c r="V34" s="484"/>
      <c r="W34" s="484"/>
      <c r="X34" s="484"/>
      <c r="Y34" s="484"/>
      <c r="Z34" s="484"/>
      <c r="AA34" s="484"/>
      <c r="AB34" s="66"/>
      <c r="AF34" s="1"/>
      <c r="AG34" s="1"/>
      <c r="AH34" s="1"/>
      <c r="AI34" s="1"/>
      <c r="AJ34" s="1"/>
      <c r="AK34" s="1"/>
      <c r="AL34" s="10">
        <v>5</v>
      </c>
      <c r="AM34" s="62" t="s">
        <v>175</v>
      </c>
      <c r="BG34" s="1">
        <v>1</v>
      </c>
      <c r="BH34" s="1"/>
      <c r="BI34" s="1" t="s">
        <v>83</v>
      </c>
      <c r="BJ34" s="1"/>
      <c r="BK34" s="1"/>
      <c r="BL34" s="1"/>
      <c r="BM34" s="1"/>
      <c r="BN34" s="1"/>
      <c r="BO34" s="1"/>
      <c r="BP34" s="1"/>
      <c r="BQ34" s="1" t="s">
        <v>310</v>
      </c>
      <c r="BR34" s="1"/>
      <c r="BS34" s="1"/>
      <c r="BT34">
        <v>32</v>
      </c>
      <c r="BU34" s="251" t="s">
        <v>571</v>
      </c>
      <c r="BV34" s="1"/>
      <c r="BW34" s="1"/>
      <c r="BX34" s="1"/>
      <c r="BY34" s="1"/>
      <c r="BZ34" s="1"/>
      <c r="CA34" s="1"/>
      <c r="CB34" s="1"/>
      <c r="CC34" s="1"/>
      <c r="CD34" s="1"/>
      <c r="CE34" s="1"/>
    </row>
    <row r="35" spans="1:84" ht="17.399999999999999" x14ac:dyDescent="0.55000000000000004">
      <c r="A35" s="794" t="s">
        <v>47</v>
      </c>
      <c r="B35" s="795"/>
      <c r="C35" s="795"/>
      <c r="D35" s="795"/>
      <c r="E35" s="795"/>
      <c r="F35" s="795"/>
      <c r="G35" s="795"/>
      <c r="H35" s="795"/>
      <c r="I35" s="795"/>
      <c r="J35" s="795"/>
      <c r="K35" s="795"/>
      <c r="L35" s="795"/>
      <c r="M35" s="795"/>
      <c r="N35" s="795"/>
      <c r="O35" s="795"/>
      <c r="P35" s="795"/>
      <c r="Q35" s="795"/>
      <c r="R35" s="795"/>
      <c r="S35" s="795"/>
      <c r="T35" s="795"/>
      <c r="U35" s="795"/>
      <c r="V35" s="795"/>
      <c r="W35" s="795"/>
      <c r="X35" s="795"/>
      <c r="Y35" s="795"/>
      <c r="Z35" s="795"/>
      <c r="AA35" s="796"/>
      <c r="AB35" s="258"/>
      <c r="AC35" s="189"/>
      <c r="AD35" s="189"/>
      <c r="AE35" s="189"/>
      <c r="AF35" s="1"/>
      <c r="AG35" s="1"/>
      <c r="AH35" s="1"/>
      <c r="AI35" s="1"/>
      <c r="AJ35" s="1"/>
      <c r="AK35" s="1"/>
      <c r="AL35" s="9"/>
      <c r="AM35" s="62" t="s">
        <v>176</v>
      </c>
      <c r="BG35" s="1">
        <v>0.5</v>
      </c>
      <c r="BH35" s="1"/>
      <c r="BI35" s="1" t="s">
        <v>84</v>
      </c>
      <c r="BJ35" s="1"/>
      <c r="BK35" s="1"/>
      <c r="BL35" s="1"/>
      <c r="BM35" s="1"/>
      <c r="BN35" s="1"/>
      <c r="BO35" s="1"/>
      <c r="BP35" s="1"/>
      <c r="BQ35" s="1"/>
      <c r="BR35" s="1"/>
      <c r="BS35" s="1"/>
      <c r="BT35">
        <v>33</v>
      </c>
      <c r="BU35" s="251" t="s">
        <v>572</v>
      </c>
      <c r="BV35" s="1"/>
      <c r="BW35" s="1"/>
      <c r="BX35" s="1"/>
      <c r="BY35" s="1"/>
      <c r="BZ35" s="1"/>
      <c r="CA35" s="1"/>
      <c r="CB35" s="1"/>
      <c r="CC35" s="1"/>
      <c r="CD35" s="1"/>
      <c r="CE35" s="1"/>
    </row>
    <row r="36" spans="1:84" ht="17.399999999999999" x14ac:dyDescent="0.55000000000000004">
      <c r="A36" s="794" t="s">
        <v>48</v>
      </c>
      <c r="B36" s="795"/>
      <c r="C36" s="795"/>
      <c r="D36" s="795"/>
      <c r="E36" s="795"/>
      <c r="F36" s="795"/>
      <c r="G36" s="795"/>
      <c r="H36" s="795"/>
      <c r="I36" s="795"/>
      <c r="J36" s="795"/>
      <c r="K36" s="795"/>
      <c r="L36" s="795"/>
      <c r="M36" s="795"/>
      <c r="N36" s="795"/>
      <c r="O36" s="796"/>
      <c r="P36" s="794" t="s">
        <v>19</v>
      </c>
      <c r="Q36" s="795"/>
      <c r="R36" s="795"/>
      <c r="S36" s="795"/>
      <c r="T36" s="795"/>
      <c r="U36" s="795"/>
      <c r="V36" s="795"/>
      <c r="W36" s="795"/>
      <c r="X36" s="795"/>
      <c r="Y36" s="795"/>
      <c r="Z36" s="795"/>
      <c r="AA36" s="796"/>
      <c r="AB36" s="258"/>
      <c r="AC36" s="189"/>
      <c r="AD36" s="189"/>
      <c r="AE36" s="189"/>
      <c r="AF36" s="4"/>
      <c r="AG36" s="4"/>
      <c r="AH36" s="4"/>
      <c r="AI36" s="4"/>
      <c r="AJ36" s="1"/>
      <c r="AK36" s="1"/>
      <c r="AL36" s="9"/>
      <c r="AM36" s="61" t="s">
        <v>257</v>
      </c>
      <c r="BG36">
        <v>0</v>
      </c>
      <c r="BH36" s="1"/>
      <c r="BI36" s="1"/>
      <c r="BJ36" s="1"/>
      <c r="BK36" s="1"/>
      <c r="BL36" s="1"/>
      <c r="BM36" s="1"/>
      <c r="BN36" s="1"/>
      <c r="BO36" s="1"/>
      <c r="BP36" s="1"/>
      <c r="BQ36" s="1"/>
      <c r="BR36" s="1"/>
      <c r="BS36" s="1"/>
      <c r="BT36">
        <v>34</v>
      </c>
      <c r="BU36" s="251" t="s">
        <v>573</v>
      </c>
      <c r="BV36" s="1"/>
      <c r="BW36" s="1"/>
      <c r="BX36" s="1"/>
      <c r="BY36" s="1"/>
      <c r="BZ36" s="1"/>
      <c r="CA36" s="1"/>
      <c r="CB36" s="275"/>
      <c r="CC36" s="1"/>
      <c r="CD36" s="1"/>
      <c r="CE36" s="1"/>
    </row>
    <row r="37" spans="1:84" ht="17.399999999999999" x14ac:dyDescent="0.55000000000000004">
      <c r="A37" s="559" t="s">
        <v>85</v>
      </c>
      <c r="B37" s="388"/>
      <c r="C37" s="388"/>
      <c r="D37" s="388"/>
      <c r="E37" s="388"/>
      <c r="F37" s="388"/>
      <c r="G37" s="388"/>
      <c r="H37" s="388"/>
      <c r="I37" s="388"/>
      <c r="J37" s="388"/>
      <c r="K37" s="388"/>
      <c r="L37" s="388"/>
      <c r="M37" s="388"/>
      <c r="N37" s="388"/>
      <c r="O37" s="388"/>
      <c r="P37" s="388"/>
      <c r="Q37" s="388"/>
      <c r="R37" s="388"/>
      <c r="S37" s="388"/>
      <c r="T37" s="388"/>
      <c r="U37" s="388"/>
      <c r="V37" s="388"/>
      <c r="W37" s="388"/>
      <c r="X37" s="388"/>
      <c r="Y37" s="388"/>
      <c r="Z37" s="388"/>
      <c r="AA37" s="389"/>
      <c r="AB37" s="82"/>
      <c r="AC37" s="15"/>
      <c r="AD37" s="15"/>
      <c r="AE37" s="15"/>
      <c r="AF37" s="4"/>
      <c r="AG37" s="4"/>
      <c r="AH37" s="4"/>
      <c r="AI37" s="4"/>
      <c r="AJ37" s="1"/>
      <c r="AK37" s="1"/>
      <c r="AL37" s="9"/>
      <c r="AM37" s="62" t="s">
        <v>177</v>
      </c>
      <c r="BG37" s="1"/>
      <c r="BH37" s="1"/>
      <c r="BI37" s="1"/>
      <c r="BJ37" s="1"/>
      <c r="BK37" s="1"/>
      <c r="BL37" s="1"/>
      <c r="BM37" s="1"/>
      <c r="BN37" s="1"/>
      <c r="BO37" s="1"/>
      <c r="BP37" s="1"/>
      <c r="BQ37" s="1"/>
      <c r="BR37" s="1"/>
      <c r="BS37" s="1"/>
      <c r="BT37">
        <v>35</v>
      </c>
      <c r="BU37" s="251" t="s">
        <v>574</v>
      </c>
      <c r="BV37" s="1"/>
      <c r="BW37" s="1"/>
      <c r="BX37" s="1"/>
      <c r="BY37" s="1"/>
      <c r="BZ37" s="1"/>
      <c r="CA37" s="1"/>
      <c r="CB37" s="1"/>
      <c r="CC37" s="1"/>
      <c r="CD37" s="1"/>
      <c r="CE37" s="1"/>
    </row>
    <row r="38" spans="1:84" ht="20.399999999999999" x14ac:dyDescent="0.75">
      <c r="A38" s="367" t="s">
        <v>86</v>
      </c>
      <c r="B38" s="368"/>
      <c r="C38" s="368"/>
      <c r="D38" s="368"/>
      <c r="E38" s="368"/>
      <c r="F38" s="368"/>
      <c r="G38" s="368"/>
      <c r="H38" s="368"/>
      <c r="I38" s="368"/>
      <c r="J38" s="368"/>
      <c r="K38" s="368"/>
      <c r="L38" s="368"/>
      <c r="M38" s="368"/>
      <c r="N38" s="368"/>
      <c r="O38" s="369"/>
      <c r="P38" s="783"/>
      <c r="Q38" s="784"/>
      <c r="R38" s="784"/>
      <c r="S38" s="784"/>
      <c r="T38" s="784"/>
      <c r="U38" s="784"/>
      <c r="V38" s="784"/>
      <c r="W38" s="784"/>
      <c r="X38" s="784"/>
      <c r="Y38" s="784"/>
      <c r="Z38" s="784"/>
      <c r="AA38" s="785"/>
      <c r="AB38" s="66"/>
      <c r="AF38" s="4"/>
      <c r="AG38" s="4"/>
      <c r="AH38" s="4"/>
      <c r="AI38" s="4"/>
      <c r="AJ38" s="1"/>
      <c r="AK38" s="1"/>
      <c r="AL38" s="9"/>
      <c r="AM38" s="62" t="s">
        <v>178</v>
      </c>
      <c r="BG38" s="13" t="s">
        <v>70</v>
      </c>
      <c r="BH38" s="1"/>
      <c r="BI38" s="24" t="s">
        <v>533</v>
      </c>
      <c r="BJ38" s="1"/>
      <c r="BK38" s="1"/>
      <c r="BL38" s="1"/>
      <c r="BM38" s="1"/>
      <c r="BN38" s="1"/>
      <c r="BO38" s="1"/>
      <c r="BP38" s="1"/>
      <c r="BQ38" s="1"/>
      <c r="BR38" s="1"/>
      <c r="BS38" s="1"/>
      <c r="BT38">
        <v>36</v>
      </c>
      <c r="BU38" s="251" t="s">
        <v>575</v>
      </c>
      <c r="BV38" s="1"/>
      <c r="BW38" s="1"/>
      <c r="BX38" s="1"/>
      <c r="BY38" s="1"/>
      <c r="BZ38" s="1"/>
      <c r="CA38" s="1"/>
      <c r="CB38" s="1"/>
      <c r="CC38" s="1"/>
      <c r="CD38" s="1"/>
      <c r="CE38" s="1"/>
    </row>
    <row r="39" spans="1:84" ht="15.75" customHeight="1" x14ac:dyDescent="0.55000000000000004">
      <c r="A39" s="612" t="s">
        <v>87</v>
      </c>
      <c r="B39" s="407"/>
      <c r="C39" s="407"/>
      <c r="D39" s="407"/>
      <c r="E39" s="407"/>
      <c r="F39" s="407"/>
      <c r="G39" s="407"/>
      <c r="H39" s="407"/>
      <c r="I39" s="407"/>
      <c r="J39" s="407"/>
      <c r="K39" s="407"/>
      <c r="L39" s="407"/>
      <c r="M39" s="407"/>
      <c r="N39" s="407"/>
      <c r="O39" s="408"/>
      <c r="P39" s="19" t="s">
        <v>72</v>
      </c>
      <c r="Q39" s="19" t="s">
        <v>88</v>
      </c>
      <c r="R39" s="19" t="s">
        <v>115</v>
      </c>
      <c r="S39" s="19" t="s">
        <v>118</v>
      </c>
      <c r="T39" s="20" t="s">
        <v>55</v>
      </c>
      <c r="U39" s="200" t="s">
        <v>49</v>
      </c>
      <c r="V39" s="201"/>
      <c r="W39" s="392" t="s">
        <v>50</v>
      </c>
      <c r="X39" s="786"/>
      <c r="Y39" s="786"/>
      <c r="Z39" s="786"/>
      <c r="AA39" s="393"/>
      <c r="AB39" s="117"/>
      <c r="AC39" s="77"/>
      <c r="AD39" s="77"/>
      <c r="AE39" s="77"/>
      <c r="AF39" s="4"/>
      <c r="AG39" s="4"/>
      <c r="AH39" s="4"/>
      <c r="AI39" s="4"/>
      <c r="AJ39" s="1"/>
      <c r="AL39" s="10">
        <v>6</v>
      </c>
      <c r="AM39" s="62" t="s">
        <v>179</v>
      </c>
      <c r="BG39" s="1"/>
      <c r="BH39" s="1"/>
      <c r="BI39" s="1"/>
      <c r="BJ39" s="1"/>
      <c r="BK39" s="1"/>
      <c r="BL39" s="1"/>
      <c r="BM39" s="1"/>
      <c r="BN39" s="1"/>
      <c r="BO39" s="1"/>
      <c r="BP39" s="1"/>
      <c r="BQ39" s="1"/>
      <c r="BR39" s="1"/>
      <c r="BS39" s="1"/>
      <c r="BT39">
        <v>37</v>
      </c>
      <c r="BU39" s="251" t="s">
        <v>576</v>
      </c>
      <c r="BV39" s="1"/>
      <c r="BW39" s="1"/>
      <c r="BX39" s="1"/>
      <c r="BY39" s="1"/>
      <c r="BZ39" s="1"/>
      <c r="CA39" s="1"/>
      <c r="CB39" s="1"/>
      <c r="CC39" s="1"/>
      <c r="CD39" s="1"/>
      <c r="CE39" s="1"/>
    </row>
    <row r="40" spans="1:84" ht="16.75" customHeight="1" x14ac:dyDescent="0.55000000000000004">
      <c r="A40" s="277"/>
      <c r="B40" s="470" t="s">
        <v>284</v>
      </c>
      <c r="C40" s="470"/>
      <c r="D40" s="470"/>
      <c r="E40" s="470"/>
      <c r="F40" s="470"/>
      <c r="G40" s="470"/>
      <c r="H40" s="470"/>
      <c r="I40" s="470"/>
      <c r="J40" s="470"/>
      <c r="K40" s="470"/>
      <c r="L40" s="470"/>
      <c r="M40" s="470"/>
      <c r="N40" s="470"/>
      <c r="O40" s="470"/>
      <c r="P40" s="18"/>
      <c r="Q40" s="18"/>
      <c r="R40" s="18"/>
      <c r="S40" s="18"/>
      <c r="T40" s="14"/>
      <c r="U40" s="485" t="e">
        <f>_xlfn.IFS($P40="Si",1,$Q40="Si",0.5,$R40="Si",0,$S40="Si","N/A")</f>
        <v>#N/A</v>
      </c>
      <c r="V40" s="551" t="e">
        <f>_xlfn.IFS($S40="Si",1,$R40="Si",0.5,$R86="Si",0,$S86="Si","N/A")</f>
        <v>#N/A</v>
      </c>
      <c r="W40" s="645"/>
      <c r="X40" s="645"/>
      <c r="Y40" s="645"/>
      <c r="Z40" s="645"/>
      <c r="AA40" s="645"/>
      <c r="AB40" s="263"/>
      <c r="AC40" s="246" t="e">
        <f>_xlfn.IFS($P40="Si",0,$Q40="si",0,$R40="si",0,$S40="si",1)</f>
        <v>#N/A</v>
      </c>
      <c r="AD40" s="185"/>
      <c r="AE40" s="185"/>
      <c r="AF40" s="5"/>
      <c r="AG40" s="4"/>
      <c r="AH40" s="4"/>
      <c r="AI40" s="4"/>
      <c r="AJ40" s="1"/>
      <c r="AL40" s="9"/>
      <c r="AM40" s="62" t="s">
        <v>180</v>
      </c>
      <c r="BH40" s="1"/>
      <c r="BI40" s="1"/>
      <c r="BJ40" s="1"/>
      <c r="BK40" s="1"/>
      <c r="BL40" s="1"/>
      <c r="BM40" s="1"/>
      <c r="BN40" s="1"/>
      <c r="BO40" s="1"/>
      <c r="BP40" s="1"/>
      <c r="BQ40" s="1"/>
      <c r="BR40" s="1"/>
      <c r="BS40" s="1"/>
      <c r="BT40">
        <v>38</v>
      </c>
      <c r="BU40" s="251" t="s">
        <v>577</v>
      </c>
      <c r="BV40" s="1"/>
      <c r="BW40" s="1"/>
      <c r="BX40" s="1"/>
      <c r="BY40" s="1"/>
      <c r="BZ40" s="1"/>
      <c r="CA40" s="1"/>
      <c r="CB40" s="1"/>
      <c r="CC40" s="1"/>
      <c r="CD40" s="1"/>
      <c r="CE40" s="1"/>
    </row>
    <row r="41" spans="1:84" ht="17.7" x14ac:dyDescent="0.55000000000000004">
      <c r="A41" s="277"/>
      <c r="B41" s="470" t="s">
        <v>290</v>
      </c>
      <c r="C41" s="470"/>
      <c r="D41" s="470"/>
      <c r="E41" s="470"/>
      <c r="F41" s="470"/>
      <c r="G41" s="470"/>
      <c r="H41" s="470"/>
      <c r="I41" s="470"/>
      <c r="J41" s="470"/>
      <c r="K41" s="470"/>
      <c r="L41" s="470"/>
      <c r="M41" s="470"/>
      <c r="N41" s="470"/>
      <c r="O41" s="470"/>
      <c r="P41" s="18"/>
      <c r="Q41" s="18"/>
      <c r="R41" s="18"/>
      <c r="S41" s="18"/>
      <c r="T41" s="14"/>
      <c r="U41" s="485" t="e">
        <f t="shared" ref="U41:U42" si="0">_xlfn.IFS($P41="Si",1,$Q41="Si",0.5,$R41="Si",0,$S41="Si","N/A")</f>
        <v>#N/A</v>
      </c>
      <c r="V41" s="551" t="e">
        <f>_xlfn.IFS($S41="Si",1,$R41="Si",0.5,$U87="Si",0,$V87="Si","N/A")</f>
        <v>#N/A</v>
      </c>
      <c r="W41" s="645"/>
      <c r="X41" s="645"/>
      <c r="Y41" s="645"/>
      <c r="Z41" s="645"/>
      <c r="AA41" s="645"/>
      <c r="AB41" s="263"/>
      <c r="AC41" s="246" t="e">
        <f t="shared" ref="AC41:AC42" si="1">_xlfn.IFS($P41="Si",0,$Q41="si",0,$R41="si",0,$S41="si",1)</f>
        <v>#N/A</v>
      </c>
      <c r="AD41" s="185"/>
      <c r="AE41" s="185"/>
      <c r="AF41" s="6"/>
      <c r="AG41" s="4"/>
      <c r="AH41" s="4"/>
      <c r="AI41" s="4"/>
      <c r="AJ41" s="1"/>
      <c r="AL41" s="9"/>
      <c r="AM41" s="62" t="s">
        <v>181</v>
      </c>
      <c r="BH41" s="1"/>
      <c r="BI41" s="1"/>
      <c r="BJ41" s="1"/>
      <c r="BK41" s="1"/>
      <c r="BL41" s="1"/>
      <c r="BM41" s="1"/>
      <c r="BN41" s="1"/>
      <c r="BO41" s="1"/>
      <c r="BP41" s="1"/>
      <c r="BQ41" s="1"/>
      <c r="BR41" s="1"/>
      <c r="BS41" s="1"/>
      <c r="BT41">
        <v>39</v>
      </c>
      <c r="BU41" s="251" t="s">
        <v>578</v>
      </c>
      <c r="BV41" s="1"/>
      <c r="BW41" s="1"/>
      <c r="BX41" s="1"/>
      <c r="BY41" s="1"/>
      <c r="BZ41" s="1"/>
      <c r="CA41" s="1"/>
      <c r="CB41" s="1"/>
      <c r="CC41" s="1"/>
      <c r="CD41" s="1"/>
      <c r="CE41" s="1"/>
    </row>
    <row r="42" spans="1:84" ht="16.75" customHeight="1" x14ac:dyDescent="0.55000000000000004">
      <c r="A42" s="277"/>
      <c r="B42" s="470" t="s">
        <v>293</v>
      </c>
      <c r="C42" s="470"/>
      <c r="D42" s="470"/>
      <c r="E42" s="470"/>
      <c r="F42" s="470"/>
      <c r="G42" s="470"/>
      <c r="H42" s="470"/>
      <c r="I42" s="470"/>
      <c r="J42" s="470"/>
      <c r="K42" s="470"/>
      <c r="L42" s="470"/>
      <c r="M42" s="470"/>
      <c r="N42" s="470"/>
      <c r="O42" s="470"/>
      <c r="P42" s="18"/>
      <c r="Q42" s="18"/>
      <c r="R42" s="18"/>
      <c r="S42" s="18"/>
      <c r="T42" s="14"/>
      <c r="U42" s="485" t="e">
        <f t="shared" si="0"/>
        <v>#N/A</v>
      </c>
      <c r="V42" s="551" t="e">
        <f>_xlfn.IFS($S42="Si",1,$R42="Si",0.5,$U88="Si",0,$V88="Si","N/A")</f>
        <v>#N/A</v>
      </c>
      <c r="W42" s="645"/>
      <c r="X42" s="645"/>
      <c r="Y42" s="645"/>
      <c r="Z42" s="645"/>
      <c r="AA42" s="645"/>
      <c r="AB42" s="263"/>
      <c r="AC42" s="246" t="e">
        <f t="shared" si="1"/>
        <v>#N/A</v>
      </c>
      <c r="AD42" s="185"/>
      <c r="AE42" s="185"/>
      <c r="AF42" s="6"/>
      <c r="AG42" s="4"/>
      <c r="AH42" s="4"/>
      <c r="AI42" s="4"/>
      <c r="AJ42" s="1"/>
      <c r="AL42" s="9"/>
      <c r="AM42" s="62" t="s">
        <v>182</v>
      </c>
      <c r="BH42" s="1"/>
      <c r="BI42" s="1"/>
      <c r="BJ42" s="1"/>
      <c r="BK42" s="1"/>
      <c r="BL42" s="1"/>
      <c r="BM42" s="1"/>
      <c r="BN42" s="1"/>
      <c r="BO42" s="1"/>
      <c r="BP42" s="1"/>
      <c r="BQ42" s="1"/>
      <c r="BR42" s="1"/>
      <c r="BS42" s="1"/>
      <c r="BT42">
        <v>40</v>
      </c>
      <c r="BU42" s="251" t="s">
        <v>579</v>
      </c>
      <c r="BV42" s="1"/>
      <c r="BW42" s="1"/>
      <c r="BX42" s="1"/>
      <c r="BY42" s="1"/>
      <c r="BZ42" s="1"/>
      <c r="CA42" s="1"/>
      <c r="CB42" s="1"/>
      <c r="CC42" s="1"/>
      <c r="CD42" s="1"/>
      <c r="CE42" s="1"/>
    </row>
    <row r="43" spans="1:84" ht="16.75" customHeight="1" x14ac:dyDescent="0.55000000000000004">
      <c r="A43" s="787" t="s">
        <v>51</v>
      </c>
      <c r="B43" s="788"/>
      <c r="C43" s="788"/>
      <c r="D43" s="788"/>
      <c r="E43" s="788"/>
      <c r="F43" s="788"/>
      <c r="G43" s="788"/>
      <c r="H43" s="788"/>
      <c r="I43" s="788"/>
      <c r="J43" s="788"/>
      <c r="K43" s="788"/>
      <c r="L43" s="788"/>
      <c r="M43" s="788"/>
      <c r="N43" s="788"/>
      <c r="O43" s="788"/>
      <c r="P43" s="788"/>
      <c r="Q43" s="788"/>
      <c r="R43" s="788"/>
      <c r="S43" s="788"/>
      <c r="T43" s="789"/>
      <c r="U43" s="798" t="e">
        <f>SUM(U40:U42)</f>
        <v>#N/A</v>
      </c>
      <c r="V43" s="799"/>
      <c r="W43" s="709"/>
      <c r="X43" s="709"/>
      <c r="Y43" s="709"/>
      <c r="Z43" s="709"/>
      <c r="AA43" s="709"/>
      <c r="AB43" s="263"/>
      <c r="AC43" s="105" t="e">
        <f>SUM(AC40:AC42)</f>
        <v>#N/A</v>
      </c>
      <c r="AD43" s="185"/>
      <c r="AE43" s="185"/>
      <c r="AF43" s="6"/>
      <c r="AG43" s="4"/>
      <c r="AH43" s="4"/>
      <c r="AI43" s="4"/>
      <c r="AJ43" s="1"/>
      <c r="AL43" s="9"/>
      <c r="AM43" s="62" t="s">
        <v>183</v>
      </c>
      <c r="BH43" s="1"/>
      <c r="BI43" s="1"/>
      <c r="BJ43" s="1"/>
      <c r="BK43" s="1"/>
      <c r="BL43" s="1"/>
      <c r="BM43" s="1"/>
      <c r="BN43" s="1"/>
      <c r="BO43" s="1"/>
      <c r="BP43" s="1"/>
      <c r="BQ43" s="1"/>
      <c r="BR43" s="1"/>
      <c r="BS43" s="1"/>
      <c r="BT43" s="1"/>
      <c r="BU43" s="1"/>
      <c r="BV43" s="1"/>
      <c r="BW43" s="1"/>
      <c r="BX43" s="1"/>
      <c r="BY43" s="1"/>
      <c r="BZ43" s="1"/>
      <c r="CA43" s="1"/>
      <c r="CB43" s="1"/>
      <c r="CC43" s="1"/>
      <c r="CD43" s="1"/>
      <c r="CE43" s="1"/>
    </row>
    <row r="44" spans="1:84" ht="16.75" customHeight="1" x14ac:dyDescent="0.55000000000000004">
      <c r="A44" s="678"/>
      <c r="B44" s="679"/>
      <c r="C44" s="679"/>
      <c r="D44" s="679"/>
      <c r="E44" s="679"/>
      <c r="F44" s="679"/>
      <c r="G44" s="679"/>
      <c r="H44" s="679"/>
      <c r="I44" s="679"/>
      <c r="J44" s="679"/>
      <c r="K44" s="679"/>
      <c r="L44" s="679"/>
      <c r="M44" s="679"/>
      <c r="N44" s="679"/>
      <c r="O44" s="679"/>
      <c r="P44" s="679"/>
      <c r="Q44" s="679"/>
      <c r="R44" s="679"/>
      <c r="S44" s="679"/>
      <c r="T44" s="679"/>
      <c r="U44" s="679"/>
      <c r="V44" s="679"/>
      <c r="W44" s="679"/>
      <c r="X44" s="679"/>
      <c r="Y44" s="679"/>
      <c r="Z44" s="679"/>
      <c r="AA44" s="680"/>
      <c r="AB44" s="24"/>
      <c r="AC44" s="247"/>
      <c r="AD44" s="243"/>
      <c r="AE44" s="181"/>
      <c r="AF44" s="6"/>
      <c r="AG44" s="4"/>
      <c r="AH44" s="4"/>
      <c r="AI44" s="4"/>
      <c r="AJ44" s="1"/>
      <c r="AL44" s="9"/>
      <c r="AM44" s="62" t="s">
        <v>184</v>
      </c>
      <c r="BH44" s="1"/>
      <c r="BI44" s="1"/>
      <c r="BJ44" s="1"/>
      <c r="BK44" s="1"/>
      <c r="BL44" s="1"/>
      <c r="BM44" s="1"/>
      <c r="BN44" s="1"/>
      <c r="BO44" s="1"/>
      <c r="BP44" s="1"/>
      <c r="BQ44" s="1"/>
      <c r="BR44" s="1"/>
      <c r="BS44" s="1"/>
      <c r="BT44" s="1"/>
      <c r="BU44" s="1"/>
      <c r="BV44" s="1"/>
      <c r="BW44" s="1"/>
      <c r="BX44" s="1"/>
      <c r="BY44" s="1"/>
      <c r="BZ44" s="1"/>
      <c r="CA44" s="122"/>
      <c r="CB44" s="122"/>
      <c r="CC44" s="122"/>
      <c r="CD44" s="122"/>
      <c r="CE44" s="122"/>
      <c r="CF44" s="122"/>
    </row>
    <row r="45" spans="1:84" ht="35.25" customHeight="1" x14ac:dyDescent="0.55000000000000004">
      <c r="A45" s="458" t="s">
        <v>123</v>
      </c>
      <c r="B45" s="802"/>
      <c r="C45" s="802"/>
      <c r="D45" s="802"/>
      <c r="E45" s="802"/>
      <c r="F45" s="802"/>
      <c r="G45" s="802"/>
      <c r="H45" s="802"/>
      <c r="I45" s="802"/>
      <c r="J45" s="802"/>
      <c r="K45" s="802"/>
      <c r="L45" s="802"/>
      <c r="M45" s="802"/>
      <c r="N45" s="802"/>
      <c r="O45" s="803"/>
      <c r="P45" s="27" t="s">
        <v>72</v>
      </c>
      <c r="Q45" s="27" t="s">
        <v>88</v>
      </c>
      <c r="R45" s="27" t="s">
        <v>115</v>
      </c>
      <c r="S45" s="27" t="s">
        <v>118</v>
      </c>
      <c r="T45" s="28" t="s">
        <v>55</v>
      </c>
      <c r="U45" s="200" t="s">
        <v>49</v>
      </c>
      <c r="V45" s="201"/>
      <c r="W45" s="211" t="s">
        <v>50</v>
      </c>
      <c r="X45" s="211"/>
      <c r="Y45" s="211"/>
      <c r="Z45" s="211"/>
      <c r="AA45" s="211"/>
      <c r="AC45" s="247"/>
      <c r="AE45" s="77"/>
      <c r="AF45" s="6"/>
      <c r="AG45" s="4"/>
      <c r="AH45" s="797"/>
      <c r="AI45" s="797"/>
      <c r="AJ45" s="1"/>
      <c r="AL45" s="9"/>
      <c r="AM45" s="62" t="s">
        <v>185</v>
      </c>
      <c r="BD45" s="17"/>
      <c r="BH45" s="1"/>
      <c r="BI45" s="1"/>
      <c r="BJ45" s="1"/>
      <c r="BK45" s="1"/>
      <c r="BL45" s="1"/>
      <c r="BM45" s="1"/>
      <c r="BN45" s="1"/>
      <c r="BO45" s="1"/>
      <c r="BP45" s="1"/>
      <c r="BQ45" s="1"/>
      <c r="BR45" s="1"/>
      <c r="BS45" s="1"/>
      <c r="BT45" s="1"/>
      <c r="BU45" s="1"/>
      <c r="BV45" s="1"/>
      <c r="BW45" s="1"/>
      <c r="BX45" s="1"/>
      <c r="BY45" s="1"/>
      <c r="BZ45" s="1"/>
      <c r="CA45" s="122"/>
      <c r="CB45" s="122"/>
      <c r="CC45" s="122"/>
      <c r="CD45" s="122"/>
      <c r="CE45" s="122"/>
      <c r="CF45" s="122"/>
    </row>
    <row r="46" spans="1:84" ht="47.25" customHeight="1" x14ac:dyDescent="0.55000000000000004">
      <c r="A46" s="278"/>
      <c r="B46" s="375" t="s">
        <v>146</v>
      </c>
      <c r="C46" s="375"/>
      <c r="D46" s="375"/>
      <c r="E46" s="375"/>
      <c r="F46" s="375"/>
      <c r="G46" s="375"/>
      <c r="H46" s="375"/>
      <c r="I46" s="375"/>
      <c r="J46" s="375"/>
      <c r="K46" s="375"/>
      <c r="L46" s="375"/>
      <c r="M46" s="375"/>
      <c r="N46" s="375"/>
      <c r="O46" s="375"/>
      <c r="P46" s="22"/>
      <c r="Q46" s="22"/>
      <c r="R46" s="22"/>
      <c r="S46" s="22"/>
      <c r="T46" s="14"/>
      <c r="U46" s="646" t="e">
        <f>_xlfn.IFS($P46="Si",1,$Q46="Si",0.5,$R46="Si",0,$S46="Si","N/A")</f>
        <v>#N/A</v>
      </c>
      <c r="V46" s="647" t="e">
        <f>_xlfn.IFS($S46="Si",1,$R46="Si",0.5,$R92="Si",0,$S92="Si","N/A")</f>
        <v>#N/A</v>
      </c>
      <c r="W46" s="645"/>
      <c r="X46" s="645"/>
      <c r="Y46" s="645"/>
      <c r="Z46" s="645"/>
      <c r="AA46" s="645"/>
      <c r="AB46" s="185"/>
      <c r="AC46" s="246" t="e">
        <f t="shared" ref="AC46:AC47" si="2">_xlfn.IFS($P46="Si",0,$Q46="si",0,$R46="si",0,$S46="si",1)</f>
        <v>#N/A</v>
      </c>
      <c r="AD46" s="185"/>
      <c r="AE46" s="185"/>
      <c r="AF46" s="6"/>
      <c r="AG46" s="4"/>
      <c r="AH46" s="797"/>
      <c r="AI46" s="797"/>
      <c r="AJ46" s="1"/>
      <c r="AL46" s="9"/>
      <c r="AM46" s="62" t="s">
        <v>186</v>
      </c>
      <c r="BH46" s="1"/>
      <c r="BI46" s="1"/>
      <c r="BJ46" s="1"/>
      <c r="BK46" s="1"/>
      <c r="BL46" s="1"/>
      <c r="BM46" s="1"/>
      <c r="BN46" s="1"/>
      <c r="BO46" s="1"/>
      <c r="BP46" s="1"/>
      <c r="BQ46" s="1"/>
      <c r="BR46" s="1"/>
      <c r="BS46" s="1"/>
      <c r="BT46" s="1"/>
      <c r="BU46" s="1"/>
      <c r="BV46" s="1"/>
      <c r="BW46" s="1"/>
      <c r="BX46" s="1"/>
      <c r="BY46" s="1"/>
      <c r="BZ46" s="1"/>
      <c r="CA46" s="122"/>
      <c r="CB46" s="122"/>
      <c r="CC46" s="122"/>
      <c r="CD46" s="122"/>
      <c r="CE46" s="122"/>
      <c r="CF46" s="122"/>
    </row>
    <row r="47" spans="1:84" ht="51" customHeight="1" x14ac:dyDescent="0.55000000000000004">
      <c r="A47" s="278"/>
      <c r="B47" s="375" t="s">
        <v>145</v>
      </c>
      <c r="C47" s="375"/>
      <c r="D47" s="375"/>
      <c r="E47" s="375"/>
      <c r="F47" s="375"/>
      <c r="G47" s="375"/>
      <c r="H47" s="375"/>
      <c r="I47" s="375"/>
      <c r="J47" s="375"/>
      <c r="K47" s="375"/>
      <c r="L47" s="375"/>
      <c r="M47" s="375"/>
      <c r="N47" s="375"/>
      <c r="O47" s="375"/>
      <c r="P47" s="22"/>
      <c r="Q47" s="22"/>
      <c r="R47" s="22"/>
      <c r="S47" s="22"/>
      <c r="T47" s="14"/>
      <c r="U47" s="646" t="e">
        <f t="shared" ref="U47" si="3">_xlfn.IFS($P47="Si",1,$Q47="Si",0.5,$R47="Si",0,$S47="Si","N/A")</f>
        <v>#N/A</v>
      </c>
      <c r="V47" s="647" t="e">
        <f t="shared" ref="V47" si="4">_xlfn.IFS($S47="Si",1,$R47="Si",0.5,$U93="Si",0,$V93="Si","N/A")</f>
        <v>#N/A</v>
      </c>
      <c r="W47" s="645"/>
      <c r="X47" s="645"/>
      <c r="Y47" s="645"/>
      <c r="Z47" s="645"/>
      <c r="AA47" s="645"/>
      <c r="AB47" s="1"/>
      <c r="AC47" s="246" t="e">
        <f t="shared" si="2"/>
        <v>#N/A</v>
      </c>
      <c r="AD47" s="1"/>
      <c r="AE47" s="1"/>
      <c r="AM47" s="62" t="s">
        <v>187</v>
      </c>
      <c r="BH47" s="1"/>
      <c r="BI47" s="1"/>
      <c r="BJ47" s="1"/>
      <c r="BK47" s="1"/>
      <c r="BL47" s="1"/>
      <c r="BM47" s="1"/>
      <c r="BN47" s="1"/>
      <c r="BO47" s="1"/>
      <c r="BP47" s="1"/>
      <c r="BQ47" s="1"/>
      <c r="BR47" s="1"/>
      <c r="BS47" s="1"/>
      <c r="BT47" s="1"/>
      <c r="BU47" s="1"/>
      <c r="BV47" s="1"/>
      <c r="BW47" s="1"/>
      <c r="BX47" s="1"/>
      <c r="BY47" s="1"/>
      <c r="BZ47" s="1"/>
      <c r="CA47" s="1"/>
      <c r="CB47" s="1"/>
      <c r="CC47" s="1"/>
      <c r="CD47" s="1"/>
      <c r="CE47" s="1"/>
    </row>
    <row r="48" spans="1:84" ht="16.75" customHeight="1" x14ac:dyDescent="0.55000000000000004">
      <c r="A48" s="649" t="s">
        <v>51</v>
      </c>
      <c r="B48" s="650"/>
      <c r="C48" s="650"/>
      <c r="D48" s="650"/>
      <c r="E48" s="650"/>
      <c r="F48" s="650"/>
      <c r="G48" s="650"/>
      <c r="H48" s="650"/>
      <c r="I48" s="650"/>
      <c r="J48" s="650"/>
      <c r="K48" s="650"/>
      <c r="L48" s="650"/>
      <c r="M48" s="650"/>
      <c r="N48" s="650"/>
      <c r="O48" s="650"/>
      <c r="P48" s="650"/>
      <c r="Q48" s="650"/>
      <c r="R48" s="650"/>
      <c r="S48" s="650"/>
      <c r="T48" s="651"/>
      <c r="U48" s="798" t="e">
        <f>SUM(U46:U47)</f>
        <v>#N/A</v>
      </c>
      <c r="V48" s="804"/>
      <c r="W48" s="709"/>
      <c r="X48" s="709"/>
      <c r="Y48" s="709"/>
      <c r="Z48" s="709"/>
      <c r="AA48" s="709"/>
      <c r="AB48" s="185"/>
      <c r="AC48" s="248" t="e">
        <f>SUM(AC46:AC47)</f>
        <v>#N/A</v>
      </c>
      <c r="AD48" s="185"/>
      <c r="AE48" s="185"/>
      <c r="AF48" s="6"/>
      <c r="AG48" s="4"/>
      <c r="AH48" s="4"/>
      <c r="AI48" s="4"/>
      <c r="AJ48" s="1"/>
      <c r="AL48" s="10">
        <v>7</v>
      </c>
      <c r="AM48" s="10" t="s">
        <v>258</v>
      </c>
      <c r="BH48" s="1"/>
      <c r="BI48" s="1"/>
      <c r="BJ48" s="1"/>
      <c r="BK48" s="1"/>
      <c r="BL48" s="1"/>
      <c r="BM48" s="1"/>
      <c r="BN48" s="1"/>
      <c r="BO48" s="1"/>
      <c r="BP48" s="1"/>
      <c r="BQ48" s="1"/>
      <c r="BR48" s="1"/>
      <c r="BS48" s="1"/>
      <c r="BT48" s="1"/>
      <c r="BU48" s="1"/>
      <c r="BV48" s="1"/>
      <c r="BW48" s="1"/>
      <c r="BX48" s="1"/>
      <c r="BY48" s="1"/>
      <c r="BZ48" s="1"/>
      <c r="CA48" s="1"/>
      <c r="CB48" s="1"/>
      <c r="CC48" s="1"/>
      <c r="CD48" s="1"/>
      <c r="CE48" s="1"/>
    </row>
    <row r="49" spans="1:88" ht="16.75" customHeight="1" x14ac:dyDescent="0.55000000000000004">
      <c r="A49" s="503"/>
      <c r="B49" s="504"/>
      <c r="C49" s="504"/>
      <c r="D49" s="504"/>
      <c r="E49" s="504"/>
      <c r="F49" s="504"/>
      <c r="G49" s="504"/>
      <c r="H49" s="504"/>
      <c r="I49" s="504"/>
      <c r="J49" s="504"/>
      <c r="K49" s="504"/>
      <c r="L49" s="504"/>
      <c r="M49" s="504"/>
      <c r="N49" s="504"/>
      <c r="O49" s="504"/>
      <c r="P49" s="504"/>
      <c r="Q49" s="504"/>
      <c r="R49" s="504"/>
      <c r="S49" s="504"/>
      <c r="T49" s="504"/>
      <c r="U49" s="504"/>
      <c r="V49" s="504"/>
      <c r="W49" s="504"/>
      <c r="X49" s="504"/>
      <c r="Y49" s="504"/>
      <c r="Z49" s="504"/>
      <c r="AA49" s="505"/>
      <c r="AB49" s="1"/>
      <c r="AC49" s="247"/>
      <c r="AD49" s="244"/>
      <c r="AE49" s="37"/>
      <c r="AF49" s="6"/>
      <c r="AG49" s="4"/>
      <c r="AH49" s="4"/>
      <c r="AI49" s="4"/>
      <c r="AJ49" s="1"/>
      <c r="AL49" s="9"/>
      <c r="AM49" s="62" t="s">
        <v>188</v>
      </c>
      <c r="BH49" s="1"/>
      <c r="BI49" s="1"/>
      <c r="BJ49" s="1"/>
      <c r="BK49" s="1"/>
      <c r="BL49" s="1"/>
      <c r="BM49" s="1"/>
      <c r="BN49" s="1"/>
      <c r="BO49" s="1"/>
      <c r="BP49" s="1"/>
      <c r="BQ49" s="1"/>
      <c r="BR49" s="1"/>
      <c r="BS49" s="1"/>
      <c r="BT49" s="1"/>
      <c r="BU49" s="1"/>
      <c r="BV49" s="1"/>
      <c r="BW49" s="1"/>
      <c r="BX49" s="1"/>
      <c r="BY49" s="1"/>
      <c r="BZ49" s="1"/>
      <c r="CA49" s="274"/>
      <c r="CB49" s="274"/>
      <c r="CC49" s="274"/>
      <c r="CD49" s="274"/>
      <c r="CE49" s="274"/>
      <c r="CF49" s="274"/>
      <c r="CG49" s="274"/>
      <c r="CH49" s="274"/>
      <c r="CI49" s="274"/>
      <c r="CJ49" s="274"/>
    </row>
    <row r="50" spans="1:88" ht="16.75" customHeight="1" x14ac:dyDescent="0.55000000000000004">
      <c r="A50" s="612" t="s">
        <v>89</v>
      </c>
      <c r="B50" s="407"/>
      <c r="C50" s="407"/>
      <c r="D50" s="407"/>
      <c r="E50" s="407"/>
      <c r="F50" s="407"/>
      <c r="G50" s="407"/>
      <c r="H50" s="407"/>
      <c r="I50" s="407"/>
      <c r="J50" s="407"/>
      <c r="K50" s="407"/>
      <c r="L50" s="407"/>
      <c r="M50" s="407"/>
      <c r="N50" s="407"/>
      <c r="O50" s="407"/>
      <c r="P50" s="97"/>
      <c r="Q50" s="97"/>
      <c r="R50" s="97"/>
      <c r="S50" s="97"/>
      <c r="T50" s="97"/>
      <c r="U50" s="97"/>
      <c r="V50" s="97"/>
      <c r="W50" s="97"/>
      <c r="X50" s="97"/>
      <c r="Y50" s="97"/>
      <c r="Z50" s="97"/>
      <c r="AA50" s="98"/>
      <c r="AB50" s="15"/>
      <c r="AC50" s="247"/>
      <c r="AD50" s="15"/>
      <c r="AE50" s="15"/>
      <c r="AF50" s="6"/>
      <c r="AG50" s="4"/>
      <c r="AH50" s="4"/>
      <c r="AI50" s="4"/>
      <c r="AJ50" s="1"/>
      <c r="AL50" s="9"/>
      <c r="AM50" s="62" t="s">
        <v>189</v>
      </c>
      <c r="BH50" s="1"/>
      <c r="BI50" s="1"/>
      <c r="BJ50" s="1"/>
      <c r="BK50" s="1"/>
      <c r="BL50" s="1"/>
      <c r="BM50" s="1"/>
      <c r="BN50" s="1"/>
      <c r="BO50" s="1"/>
      <c r="BP50" s="1"/>
      <c r="BQ50" s="1"/>
      <c r="BR50" s="1"/>
      <c r="BS50" s="1"/>
      <c r="BT50" s="1"/>
      <c r="BU50" s="1"/>
      <c r="BV50" s="1"/>
      <c r="BW50" s="1"/>
      <c r="BX50" s="1"/>
      <c r="BY50" s="1"/>
      <c r="BZ50" s="1"/>
      <c r="CA50" s="326"/>
      <c r="CB50" s="326"/>
      <c r="CC50" s="326"/>
      <c r="CD50" s="326"/>
      <c r="CE50" s="326"/>
      <c r="CF50" s="326"/>
      <c r="CG50" s="326"/>
      <c r="CH50" s="326"/>
      <c r="CI50" s="326"/>
      <c r="CJ50" s="326"/>
    </row>
    <row r="51" spans="1:88" ht="16.75" customHeight="1" x14ac:dyDescent="0.55000000000000004">
      <c r="A51" s="279"/>
      <c r="B51" s="780" t="s">
        <v>116</v>
      </c>
      <c r="C51" s="781"/>
      <c r="D51" s="781"/>
      <c r="E51" s="781"/>
      <c r="F51" s="781"/>
      <c r="G51" s="781"/>
      <c r="H51" s="781"/>
      <c r="I51" s="781"/>
      <c r="J51" s="781"/>
      <c r="K51" s="781"/>
      <c r="L51" s="781"/>
      <c r="M51" s="781"/>
      <c r="N51" s="781"/>
      <c r="O51" s="782"/>
      <c r="P51" s="33" t="s">
        <v>72</v>
      </c>
      <c r="Q51" s="33" t="s">
        <v>88</v>
      </c>
      <c r="R51" s="33" t="s">
        <v>115</v>
      </c>
      <c r="S51" s="33" t="s">
        <v>118</v>
      </c>
      <c r="T51" s="34" t="s">
        <v>55</v>
      </c>
      <c r="U51" s="213" t="s">
        <v>49</v>
      </c>
      <c r="V51" s="214"/>
      <c r="W51" s="805" t="s">
        <v>50</v>
      </c>
      <c r="X51" s="806"/>
      <c r="Y51" s="806"/>
      <c r="Z51" s="806"/>
      <c r="AA51" s="807"/>
      <c r="AC51" s="247"/>
      <c r="AD51" s="77"/>
      <c r="AE51" s="77"/>
      <c r="AF51" s="7"/>
      <c r="AG51" s="4"/>
      <c r="AH51" s="4"/>
      <c r="AI51" s="4"/>
      <c r="AJ51" s="1"/>
      <c r="AL51" s="10">
        <v>8</v>
      </c>
      <c r="AM51" s="10" t="s">
        <v>268</v>
      </c>
      <c r="AN51" s="62"/>
      <c r="BH51" s="1"/>
      <c r="BI51" s="1"/>
      <c r="BJ51" s="1"/>
      <c r="BK51" s="1"/>
      <c r="BL51" s="1"/>
      <c r="BM51" s="1"/>
      <c r="BN51" s="1"/>
      <c r="BO51" s="1"/>
      <c r="BP51" s="1"/>
      <c r="BQ51" s="1"/>
      <c r="BR51" s="1"/>
      <c r="BS51" s="1"/>
      <c r="BT51" s="1"/>
      <c r="BU51" s="1"/>
      <c r="BV51" s="1"/>
      <c r="BW51" s="1"/>
      <c r="BX51" s="1"/>
      <c r="BY51" s="1"/>
      <c r="BZ51" s="1"/>
      <c r="CA51" s="1"/>
      <c r="CB51" s="1"/>
      <c r="CC51" s="1"/>
      <c r="CD51" s="1"/>
      <c r="CE51" s="1"/>
    </row>
    <row r="52" spans="1:88" ht="79.5" customHeight="1" x14ac:dyDescent="0.55000000000000004">
      <c r="A52" s="279"/>
      <c r="B52" s="46"/>
      <c r="C52" s="642" t="s">
        <v>318</v>
      </c>
      <c r="D52" s="643"/>
      <c r="E52" s="643"/>
      <c r="F52" s="643"/>
      <c r="G52" s="643"/>
      <c r="H52" s="643"/>
      <c r="I52" s="643"/>
      <c r="J52" s="643"/>
      <c r="K52" s="643"/>
      <c r="L52" s="643"/>
      <c r="M52" s="643"/>
      <c r="N52" s="643"/>
      <c r="O52" s="644"/>
      <c r="P52" s="22"/>
      <c r="Q52" s="22"/>
      <c r="R52" s="22"/>
      <c r="S52" s="22"/>
      <c r="T52" s="14"/>
      <c r="U52" s="646" t="e">
        <f>_xlfn.IFS($P52="Si",1,$Q52="Si",0.5,$R52="Si",0,$S52="Si","N/A")</f>
        <v>#N/A</v>
      </c>
      <c r="V52" s="647" t="e">
        <f>_xlfn.IFS($S52="Si",1,$R52="Si",0.5,$U98="Si",0,$V98="Si","N/A")</f>
        <v>#N/A</v>
      </c>
      <c r="W52" s="808"/>
      <c r="X52" s="809"/>
      <c r="Y52" s="809"/>
      <c r="Z52" s="809"/>
      <c r="AA52" s="810"/>
      <c r="AB52" s="185"/>
      <c r="AC52" s="246" t="e">
        <f t="shared" ref="AC52" si="5">_xlfn.IFS($P52="Si",0,$Q52="si",0,$R52="si",0,$S52="si",1)</f>
        <v>#N/A</v>
      </c>
      <c r="AD52" s="185"/>
      <c r="AE52" s="185"/>
      <c r="AF52" s="7"/>
      <c r="AG52" s="4"/>
      <c r="AH52" s="4"/>
      <c r="AI52" s="4"/>
      <c r="AJ52" s="1"/>
      <c r="AL52" s="9"/>
      <c r="AM52" t="s">
        <v>190</v>
      </c>
      <c r="BG52" s="1"/>
      <c r="BH52" s="1"/>
      <c r="BI52" s="1"/>
      <c r="BJ52" s="1"/>
      <c r="BK52" s="1"/>
      <c r="BL52" s="1"/>
      <c r="BM52" s="1"/>
      <c r="BN52" s="1"/>
      <c r="BO52" s="1"/>
      <c r="BP52" s="1"/>
      <c r="BQ52" s="1"/>
      <c r="BR52" s="1"/>
      <c r="BS52" s="1"/>
      <c r="BT52" s="1"/>
      <c r="BU52" s="1"/>
      <c r="BV52" s="1"/>
      <c r="BW52" s="1"/>
      <c r="BX52" s="1"/>
      <c r="BY52" s="1"/>
      <c r="BZ52" s="1"/>
      <c r="CA52" s="1"/>
      <c r="CB52" s="1"/>
      <c r="CC52" s="1"/>
      <c r="CD52" s="1"/>
      <c r="CE52" s="1"/>
    </row>
    <row r="53" spans="1:88" ht="15.75" customHeight="1" x14ac:dyDescent="0.55000000000000004">
      <c r="A53" s="649" t="s">
        <v>51</v>
      </c>
      <c r="B53" s="650"/>
      <c r="C53" s="650"/>
      <c r="D53" s="650"/>
      <c r="E53" s="650"/>
      <c r="F53" s="650"/>
      <c r="G53" s="650"/>
      <c r="H53" s="650"/>
      <c r="I53" s="650"/>
      <c r="J53" s="650"/>
      <c r="K53" s="650"/>
      <c r="L53" s="650"/>
      <c r="M53" s="650"/>
      <c r="N53" s="650"/>
      <c r="O53" s="650"/>
      <c r="P53" s="650"/>
      <c r="Q53" s="650"/>
      <c r="R53" s="650"/>
      <c r="S53" s="650"/>
      <c r="T53" s="651"/>
      <c r="U53" s="798" t="e">
        <f>SUM(U52)</f>
        <v>#N/A</v>
      </c>
      <c r="V53" s="799"/>
      <c r="W53" s="681"/>
      <c r="X53" s="682"/>
      <c r="Y53" s="682"/>
      <c r="Z53" s="682"/>
      <c r="AA53" s="683"/>
      <c r="AB53" s="185"/>
      <c r="AC53" s="247" t="e">
        <f>SUM(AC52)</f>
        <v>#N/A</v>
      </c>
      <c r="AD53" s="185"/>
      <c r="AE53" s="185"/>
      <c r="AF53" s="7"/>
      <c r="AG53" s="4"/>
      <c r="AH53" s="4"/>
      <c r="AI53" s="4"/>
      <c r="AJ53" s="1"/>
      <c r="AL53" s="9"/>
      <c r="AM53" t="s">
        <v>191</v>
      </c>
      <c r="BD53" s="17"/>
      <c r="BG53" s="1"/>
      <c r="BH53" s="1"/>
      <c r="BI53" s="1"/>
      <c r="BJ53" s="1"/>
      <c r="BK53" s="1"/>
      <c r="BL53" s="1"/>
      <c r="BM53" s="1"/>
      <c r="BN53" s="1"/>
      <c r="BO53" s="1"/>
      <c r="BP53" s="1"/>
      <c r="BQ53" s="1"/>
      <c r="BR53" s="1"/>
      <c r="BS53" s="1"/>
      <c r="BT53" s="1"/>
      <c r="BU53" s="1"/>
      <c r="BV53" s="1"/>
      <c r="BW53" s="1"/>
      <c r="BX53" s="1"/>
      <c r="BY53" s="1"/>
      <c r="BZ53" s="1"/>
      <c r="CA53" s="1"/>
      <c r="CB53" s="1"/>
      <c r="CC53" s="1"/>
      <c r="CD53" s="1"/>
      <c r="CE53" s="1"/>
    </row>
    <row r="54" spans="1:88" ht="15.75" customHeight="1" x14ac:dyDescent="0.55000000000000004">
      <c r="A54" s="678"/>
      <c r="B54" s="679"/>
      <c r="C54" s="679"/>
      <c r="D54" s="679"/>
      <c r="E54" s="679"/>
      <c r="F54" s="679"/>
      <c r="G54" s="679"/>
      <c r="H54" s="679"/>
      <c r="I54" s="679"/>
      <c r="J54" s="679"/>
      <c r="K54" s="679"/>
      <c r="L54" s="679"/>
      <c r="M54" s="679"/>
      <c r="N54" s="679"/>
      <c r="O54" s="679"/>
      <c r="P54" s="679"/>
      <c r="Q54" s="679"/>
      <c r="R54" s="679"/>
      <c r="S54" s="679"/>
      <c r="T54" s="679"/>
      <c r="U54" s="679"/>
      <c r="V54" s="679"/>
      <c r="W54" s="679"/>
      <c r="X54" s="679"/>
      <c r="Y54" s="679"/>
      <c r="Z54" s="679"/>
      <c r="AA54" s="680"/>
      <c r="AB54" s="24"/>
      <c r="AC54" s="247"/>
      <c r="AD54" s="24"/>
      <c r="AE54" s="24"/>
      <c r="AF54" s="7"/>
      <c r="AG54" s="4"/>
      <c r="AH54" s="4"/>
      <c r="AI54" s="4"/>
      <c r="AJ54" s="1"/>
      <c r="AL54" s="9"/>
      <c r="AM54" t="s">
        <v>192</v>
      </c>
      <c r="BD54" s="17"/>
      <c r="BG54" s="1"/>
      <c r="BH54" s="1"/>
      <c r="BI54" s="1"/>
      <c r="BJ54" s="1"/>
      <c r="BK54" s="1"/>
      <c r="BL54" s="1"/>
      <c r="BM54" s="1"/>
      <c r="BN54" s="1"/>
      <c r="BO54" s="1"/>
      <c r="BP54" s="1"/>
      <c r="BQ54" s="1"/>
      <c r="BR54" s="1"/>
      <c r="BS54" s="1"/>
      <c r="BT54" s="1"/>
      <c r="BU54" s="1"/>
      <c r="BV54" s="1"/>
      <c r="BW54" s="1"/>
      <c r="BX54" s="1"/>
      <c r="BY54" s="1"/>
      <c r="BZ54" s="1"/>
      <c r="CA54" s="1"/>
      <c r="CB54" s="1"/>
      <c r="CC54" s="1"/>
      <c r="CD54" s="1"/>
      <c r="CE54" s="1"/>
    </row>
    <row r="55" spans="1:88" ht="16.75" customHeight="1" x14ac:dyDescent="0.55000000000000004">
      <c r="A55" s="280"/>
      <c r="B55" s="612" t="s">
        <v>117</v>
      </c>
      <c r="C55" s="407"/>
      <c r="D55" s="407"/>
      <c r="E55" s="407"/>
      <c r="F55" s="407"/>
      <c r="G55" s="407"/>
      <c r="H55" s="407"/>
      <c r="I55" s="407"/>
      <c r="J55" s="407"/>
      <c r="K55" s="407"/>
      <c r="L55" s="407"/>
      <c r="M55" s="407"/>
      <c r="N55" s="407"/>
      <c r="O55" s="408"/>
      <c r="P55" s="19" t="s">
        <v>72</v>
      </c>
      <c r="Q55" s="19" t="s">
        <v>88</v>
      </c>
      <c r="R55" s="19" t="s">
        <v>115</v>
      </c>
      <c r="S55" s="19" t="s">
        <v>118</v>
      </c>
      <c r="T55" s="20" t="s">
        <v>55</v>
      </c>
      <c r="U55" s="200" t="s">
        <v>49</v>
      </c>
      <c r="V55" s="201"/>
      <c r="W55" s="411" t="s">
        <v>50</v>
      </c>
      <c r="X55" s="411"/>
      <c r="Y55" s="411"/>
      <c r="Z55" s="411"/>
      <c r="AA55" s="411"/>
      <c r="AC55" s="247"/>
      <c r="AE55" s="77"/>
      <c r="AF55" s="7"/>
      <c r="AG55" s="4"/>
      <c r="AH55" s="4"/>
      <c r="AI55" s="4"/>
      <c r="AJ55" s="1"/>
      <c r="AK55" s="1"/>
      <c r="AL55" s="9"/>
      <c r="AM55" t="s">
        <v>193</v>
      </c>
      <c r="BD55" s="17"/>
      <c r="BG55" s="1"/>
      <c r="BH55" s="1"/>
      <c r="BI55" s="1"/>
      <c r="BJ55" s="1"/>
      <c r="BK55" s="1"/>
      <c r="BL55" s="1"/>
      <c r="BM55" s="1"/>
      <c r="BN55" s="1"/>
      <c r="BO55" s="1"/>
      <c r="BP55" s="1"/>
      <c r="BQ55" s="1"/>
      <c r="BR55" s="1"/>
      <c r="BS55" s="1"/>
      <c r="BT55" s="1"/>
      <c r="BU55" s="1"/>
      <c r="BV55" s="1"/>
      <c r="BW55" s="1"/>
      <c r="BX55" s="1"/>
      <c r="BY55" s="1"/>
      <c r="BZ55" s="1"/>
      <c r="CA55" s="1"/>
      <c r="CB55" s="1"/>
      <c r="CC55" s="1"/>
      <c r="CD55" s="1"/>
      <c r="CE55" s="1"/>
    </row>
    <row r="56" spans="1:88" ht="62.25" customHeight="1" x14ac:dyDescent="0.55000000000000004">
      <c r="A56" s="279"/>
      <c r="B56" s="46"/>
      <c r="C56" s="356" t="s">
        <v>321</v>
      </c>
      <c r="D56" s="357"/>
      <c r="E56" s="357"/>
      <c r="F56" s="357"/>
      <c r="G56" s="357"/>
      <c r="H56" s="357"/>
      <c r="I56" s="357"/>
      <c r="J56" s="357"/>
      <c r="K56" s="357"/>
      <c r="L56" s="357"/>
      <c r="M56" s="357"/>
      <c r="N56" s="357"/>
      <c r="O56" s="415"/>
      <c r="P56" s="22"/>
      <c r="Q56" s="22"/>
      <c r="R56" s="22"/>
      <c r="S56" s="22"/>
      <c r="T56" s="14"/>
      <c r="U56" s="646" t="e">
        <f>_xlfn.IFS($P56="Si",1,$Q56="Si",0.5,$R56="Si",0,$S56="Si","N/A")</f>
        <v>#N/A</v>
      </c>
      <c r="V56" s="647" t="e">
        <f>_xlfn.IFS($S56="Si",1,$R56="Si",0.5,$U102="Si",0,$V102="Si","N/A")</f>
        <v>#N/A</v>
      </c>
      <c r="W56" s="648"/>
      <c r="X56" s="648"/>
      <c r="Y56" s="648"/>
      <c r="Z56" s="648"/>
      <c r="AA56" s="648"/>
      <c r="AB56" s="185"/>
      <c r="AC56" s="246" t="e">
        <f t="shared" ref="AC56" si="6">_xlfn.IFS($P56="Si",0,$Q56="si",0,$R56="si",0,$S56="si",1)</f>
        <v>#N/A</v>
      </c>
      <c r="AD56" s="185"/>
      <c r="AE56" s="185"/>
      <c r="AF56" s="7"/>
      <c r="AG56" s="4"/>
      <c r="AH56" s="4"/>
      <c r="AI56" s="4"/>
      <c r="AJ56" s="1"/>
      <c r="AK56" s="1"/>
      <c r="AL56" s="9"/>
      <c r="AM56" t="s">
        <v>194</v>
      </c>
      <c r="BD56" s="17"/>
      <c r="BG56" s="1"/>
      <c r="BH56" s="1"/>
      <c r="BI56" s="1"/>
      <c r="BJ56" s="1"/>
      <c r="BK56" s="1"/>
      <c r="BL56" s="1"/>
      <c r="BM56" s="1"/>
      <c r="BN56" s="1"/>
      <c r="BO56" s="1"/>
      <c r="BP56" s="1"/>
      <c r="BQ56" s="1"/>
      <c r="BR56" s="1"/>
      <c r="BS56" s="1"/>
      <c r="BT56" s="1"/>
      <c r="BU56" s="1"/>
      <c r="BV56" s="1"/>
      <c r="BW56" s="1"/>
      <c r="BX56" s="1"/>
      <c r="BY56" s="1"/>
      <c r="BZ56" s="1"/>
      <c r="CA56" s="1"/>
      <c r="CB56" s="1"/>
      <c r="CC56" s="1"/>
      <c r="CD56" s="1"/>
      <c r="CE56" s="1"/>
    </row>
    <row r="57" spans="1:88" ht="15.75" customHeight="1" x14ac:dyDescent="0.55000000000000004">
      <c r="A57" s="649" t="s">
        <v>51</v>
      </c>
      <c r="B57" s="650"/>
      <c r="C57" s="650"/>
      <c r="D57" s="650"/>
      <c r="E57" s="650"/>
      <c r="F57" s="650"/>
      <c r="G57" s="650"/>
      <c r="H57" s="650"/>
      <c r="I57" s="650"/>
      <c r="J57" s="650"/>
      <c r="K57" s="650"/>
      <c r="L57" s="650"/>
      <c r="M57" s="650"/>
      <c r="N57" s="650"/>
      <c r="O57" s="650"/>
      <c r="P57" s="650"/>
      <c r="Q57" s="650"/>
      <c r="R57" s="650"/>
      <c r="S57" s="650"/>
      <c r="T57" s="651"/>
      <c r="U57" s="701" t="e">
        <f>SUM(U56)</f>
        <v>#N/A</v>
      </c>
      <c r="V57" s="702"/>
      <c r="W57" s="681"/>
      <c r="X57" s="682"/>
      <c r="Y57" s="682"/>
      <c r="Z57" s="682"/>
      <c r="AA57" s="683"/>
      <c r="AB57" s="185"/>
      <c r="AC57" s="247" t="e">
        <f>SUM(AC56)</f>
        <v>#N/A</v>
      </c>
      <c r="AD57" s="185"/>
      <c r="AE57" s="185"/>
      <c r="AF57" s="7"/>
      <c r="AG57" s="4"/>
      <c r="AH57" s="4"/>
      <c r="AI57" s="4"/>
      <c r="AJ57" s="1"/>
      <c r="AK57" s="1"/>
      <c r="AL57" s="9"/>
      <c r="AM57" t="s">
        <v>195</v>
      </c>
      <c r="BD57" s="17"/>
      <c r="BG57" s="1"/>
      <c r="BH57" s="1"/>
      <c r="BI57" s="1"/>
      <c r="BJ57" s="1"/>
      <c r="BK57" s="1"/>
      <c r="BL57" s="1"/>
      <c r="BM57" s="1"/>
      <c r="BN57" s="1"/>
      <c r="BO57" s="1"/>
      <c r="BP57" s="1"/>
      <c r="BQ57" s="1"/>
      <c r="BR57" s="1"/>
      <c r="BS57" s="1"/>
      <c r="BT57" s="1"/>
      <c r="BU57" s="1"/>
      <c r="BV57" s="1"/>
      <c r="BW57" s="1"/>
      <c r="BX57" s="1"/>
      <c r="BY57" s="1"/>
      <c r="BZ57" s="1"/>
      <c r="CA57" s="1"/>
      <c r="CB57" s="1"/>
      <c r="CC57" s="1"/>
      <c r="CD57" s="1"/>
      <c r="CE57" s="1"/>
    </row>
    <row r="58" spans="1:88" ht="16.75" customHeight="1" x14ac:dyDescent="0.55000000000000004">
      <c r="A58" s="539"/>
      <c r="B58" s="539"/>
      <c r="C58" s="539"/>
      <c r="D58" s="539"/>
      <c r="E58" s="539"/>
      <c r="F58" s="539"/>
      <c r="G58" s="539"/>
      <c r="H58" s="539"/>
      <c r="I58" s="539"/>
      <c r="J58" s="539"/>
      <c r="K58" s="539"/>
      <c r="L58" s="539"/>
      <c r="M58" s="539"/>
      <c r="N58" s="539"/>
      <c r="O58" s="539"/>
      <c r="P58" s="539"/>
      <c r="Q58" s="539"/>
      <c r="R58" s="539"/>
      <c r="S58" s="539"/>
      <c r="T58" s="539"/>
      <c r="U58" s="539"/>
      <c r="V58" s="539"/>
      <c r="W58" s="539"/>
      <c r="X58" s="539"/>
      <c r="Y58" s="539"/>
      <c r="Z58" s="539"/>
      <c r="AA58" s="539"/>
      <c r="AB58" s="1"/>
      <c r="AC58" s="247"/>
      <c r="AD58" s="1"/>
      <c r="AE58" s="1"/>
      <c r="AF58" s="7"/>
      <c r="AG58" s="4"/>
      <c r="AH58" s="4"/>
      <c r="AI58" s="4"/>
      <c r="AJ58" s="1"/>
      <c r="AK58" s="1"/>
      <c r="AL58" s="9"/>
      <c r="AM58" t="s">
        <v>196</v>
      </c>
      <c r="BD58" s="17"/>
      <c r="BG58" s="1"/>
      <c r="BH58" s="1"/>
      <c r="BI58" s="1"/>
      <c r="BJ58" s="1"/>
      <c r="BK58" s="1"/>
      <c r="BL58" s="1"/>
      <c r="BM58" s="1"/>
      <c r="BN58" s="1"/>
      <c r="BO58" s="1"/>
      <c r="BP58" s="1"/>
      <c r="BQ58" s="1"/>
      <c r="BR58" s="1"/>
      <c r="BS58" s="1"/>
      <c r="BT58" s="1"/>
      <c r="BU58" s="1"/>
      <c r="BV58" s="1"/>
      <c r="BW58" s="1"/>
      <c r="BX58" s="1"/>
      <c r="BY58" s="1"/>
      <c r="BZ58" s="1"/>
      <c r="CA58" s="1"/>
      <c r="CB58" s="1"/>
      <c r="CC58" s="1"/>
      <c r="CD58" s="1"/>
      <c r="CE58" s="1"/>
    </row>
    <row r="59" spans="1:88" ht="16.75" customHeight="1" x14ac:dyDescent="0.55000000000000004">
      <c r="A59" s="186"/>
      <c r="B59" s="585" t="s">
        <v>119</v>
      </c>
      <c r="C59" s="585"/>
      <c r="D59" s="585"/>
      <c r="E59" s="585"/>
      <c r="F59" s="585"/>
      <c r="G59" s="585"/>
      <c r="H59" s="585"/>
      <c r="I59" s="585"/>
      <c r="J59" s="585"/>
      <c r="K59" s="585"/>
      <c r="L59" s="585"/>
      <c r="M59" s="585"/>
      <c r="N59" s="585"/>
      <c r="O59" s="585"/>
      <c r="P59" s="19" t="s">
        <v>72</v>
      </c>
      <c r="Q59" s="19" t="s">
        <v>88</v>
      </c>
      <c r="R59" s="19" t="s">
        <v>115</v>
      </c>
      <c r="S59" s="19" t="s">
        <v>118</v>
      </c>
      <c r="T59" s="20" t="s">
        <v>55</v>
      </c>
      <c r="U59" s="210" t="s">
        <v>49</v>
      </c>
      <c r="V59" s="210"/>
      <c r="W59" s="210" t="s">
        <v>50</v>
      </c>
      <c r="X59" s="210"/>
      <c r="Y59" s="210"/>
      <c r="Z59" s="210"/>
      <c r="AA59" s="210"/>
      <c r="AC59" s="247"/>
      <c r="AE59" s="77"/>
      <c r="AF59" s="7"/>
      <c r="AG59" s="4"/>
      <c r="AH59" s="4"/>
      <c r="AI59" s="4"/>
      <c r="AJ59" s="1"/>
      <c r="AK59" s="1"/>
      <c r="AL59" s="10">
        <v>9</v>
      </c>
      <c r="AM59" s="10" t="s">
        <v>269</v>
      </c>
      <c r="BD59" s="17"/>
      <c r="BG59" s="1"/>
      <c r="BH59" s="1"/>
      <c r="BI59" s="1"/>
      <c r="BJ59" s="1"/>
      <c r="BK59" s="1"/>
      <c r="BL59" s="1"/>
      <c r="BM59" s="1"/>
      <c r="BN59" s="1"/>
      <c r="BO59" s="1"/>
      <c r="BP59" s="1"/>
      <c r="BQ59" s="1"/>
      <c r="BR59" s="1"/>
      <c r="BS59" s="1"/>
      <c r="BT59" s="1"/>
      <c r="BU59" s="1"/>
      <c r="BV59" s="1"/>
      <c r="BW59" s="1"/>
      <c r="BX59" s="1"/>
      <c r="BY59" s="1"/>
      <c r="BZ59" s="1"/>
      <c r="CA59" s="1"/>
      <c r="CB59" s="1"/>
      <c r="CC59" s="1"/>
      <c r="CD59" s="1"/>
      <c r="CE59" s="1"/>
    </row>
    <row r="60" spans="1:88" ht="63.75" customHeight="1" x14ac:dyDescent="0.55000000000000004">
      <c r="A60" s="186"/>
      <c r="B60" s="186"/>
      <c r="C60" s="375" t="s">
        <v>144</v>
      </c>
      <c r="D60" s="375"/>
      <c r="E60" s="375"/>
      <c r="F60" s="375"/>
      <c r="G60" s="375"/>
      <c r="H60" s="375"/>
      <c r="I60" s="375"/>
      <c r="J60" s="375"/>
      <c r="K60" s="375"/>
      <c r="L60" s="375"/>
      <c r="M60" s="375"/>
      <c r="N60" s="375"/>
      <c r="O60" s="375"/>
      <c r="P60" s="22"/>
      <c r="Q60" s="22"/>
      <c r="R60" s="22"/>
      <c r="S60" s="22"/>
      <c r="T60" s="14"/>
      <c r="U60" s="646" t="e">
        <f>_xlfn.IFS($P60="Si",1,$Q60="Si",0.5,$R60="Si",0,$S60="Si","N/A")</f>
        <v>#N/A</v>
      </c>
      <c r="V60" s="647" t="e">
        <f>_xlfn.IFS($S60="Si",1,$R60="Si",0.5,$U106="Si",0,$V106="Si","N/A")</f>
        <v>#N/A</v>
      </c>
      <c r="W60" s="648"/>
      <c r="X60" s="648"/>
      <c r="Y60" s="648"/>
      <c r="Z60" s="648"/>
      <c r="AA60" s="648"/>
      <c r="AB60" s="185"/>
      <c r="AC60" s="246" t="e">
        <f t="shared" ref="AC60" si="7">_xlfn.IFS($P60="Si",0,$Q60="si",0,$R60="si",0,$S60="si",1)</f>
        <v>#N/A</v>
      </c>
      <c r="AD60" s="185"/>
      <c r="AE60" s="185"/>
      <c r="AF60" s="7"/>
      <c r="AG60" s="4"/>
      <c r="AH60" s="4"/>
      <c r="AI60" s="4"/>
      <c r="AJ60" s="1"/>
      <c r="AL60" s="9"/>
      <c r="AM60" t="s">
        <v>197</v>
      </c>
      <c r="BD60" s="17"/>
      <c r="BG60" s="1"/>
      <c r="BH60" s="1"/>
      <c r="BI60" s="1"/>
      <c r="BJ60" s="1"/>
      <c r="BK60" s="1"/>
      <c r="BL60" s="1"/>
      <c r="BM60" s="1"/>
      <c r="BN60" s="1"/>
      <c r="BO60" s="1"/>
      <c r="BP60" s="1"/>
      <c r="BQ60" s="1"/>
      <c r="BR60" s="1"/>
      <c r="BS60" s="1"/>
      <c r="BT60" s="1"/>
      <c r="BU60" s="1"/>
      <c r="BV60" s="1"/>
      <c r="BW60" s="1"/>
      <c r="BX60" s="1"/>
      <c r="BY60" s="1"/>
      <c r="BZ60" s="1"/>
      <c r="CA60" s="1"/>
      <c r="CB60" s="1"/>
      <c r="CC60" s="1"/>
      <c r="CD60" s="1"/>
      <c r="CE60" s="1"/>
    </row>
    <row r="61" spans="1:88" ht="15.75" customHeight="1" x14ac:dyDescent="0.55000000000000004">
      <c r="A61" s="684" t="s">
        <v>51</v>
      </c>
      <c r="B61" s="684"/>
      <c r="C61" s="684"/>
      <c r="D61" s="684"/>
      <c r="E61" s="684"/>
      <c r="F61" s="684"/>
      <c r="G61" s="684"/>
      <c r="H61" s="684"/>
      <c r="I61" s="684"/>
      <c r="J61" s="684"/>
      <c r="K61" s="684"/>
      <c r="L61" s="684"/>
      <c r="M61" s="684"/>
      <c r="N61" s="684"/>
      <c r="O61" s="684"/>
      <c r="P61" s="684"/>
      <c r="Q61" s="684"/>
      <c r="R61" s="684"/>
      <c r="S61" s="684"/>
      <c r="T61" s="684"/>
      <c r="U61" s="685" t="e">
        <f>SUM(U60)</f>
        <v>#N/A</v>
      </c>
      <c r="V61" s="685"/>
      <c r="W61" s="709"/>
      <c r="X61" s="709"/>
      <c r="Y61" s="709"/>
      <c r="Z61" s="709"/>
      <c r="AA61" s="709"/>
      <c r="AB61" s="185"/>
      <c r="AC61" s="247" t="e">
        <f>SUM(AC60)</f>
        <v>#N/A</v>
      </c>
      <c r="AD61" s="185"/>
      <c r="AE61" s="185"/>
      <c r="AF61" s="7"/>
      <c r="AG61" s="4"/>
      <c r="AH61" s="4"/>
      <c r="AI61" s="4"/>
      <c r="AJ61" s="1"/>
      <c r="AL61" s="9"/>
      <c r="AM61" t="s">
        <v>198</v>
      </c>
      <c r="BG61" s="1"/>
      <c r="BH61" s="1"/>
      <c r="BI61" s="1"/>
      <c r="BJ61" s="1"/>
      <c r="BK61" s="1"/>
      <c r="BL61" s="1"/>
      <c r="BM61" s="1"/>
      <c r="BN61" s="1"/>
      <c r="BO61" s="1"/>
      <c r="BP61" s="1"/>
      <c r="BQ61" s="1"/>
      <c r="BR61" s="1"/>
      <c r="BS61" s="1"/>
      <c r="BT61" s="1"/>
      <c r="BU61" s="1"/>
      <c r="BV61" s="1"/>
      <c r="BW61" s="1"/>
      <c r="BX61" s="1"/>
      <c r="BY61" s="1"/>
      <c r="BZ61" s="1"/>
      <c r="CA61" s="1"/>
      <c r="CB61" s="1"/>
      <c r="CC61" s="1"/>
      <c r="CD61" s="1"/>
      <c r="CE61" s="1"/>
    </row>
    <row r="62" spans="1:88" ht="15.75" customHeight="1" x14ac:dyDescent="0.55000000000000004">
      <c r="A62" s="503"/>
      <c r="B62" s="504"/>
      <c r="C62" s="504"/>
      <c r="D62" s="504"/>
      <c r="E62" s="504"/>
      <c r="F62" s="504"/>
      <c r="G62" s="504"/>
      <c r="H62" s="504"/>
      <c r="I62" s="504"/>
      <c r="J62" s="504"/>
      <c r="K62" s="504"/>
      <c r="L62" s="504"/>
      <c r="M62" s="504"/>
      <c r="N62" s="504"/>
      <c r="O62" s="504"/>
      <c r="P62" s="504"/>
      <c r="Q62" s="504"/>
      <c r="R62" s="504"/>
      <c r="S62" s="504"/>
      <c r="T62" s="504"/>
      <c r="U62" s="504"/>
      <c r="V62" s="504"/>
      <c r="W62" s="504"/>
      <c r="X62" s="504"/>
      <c r="Y62" s="504"/>
      <c r="Z62" s="504"/>
      <c r="AA62" s="505"/>
      <c r="AB62" s="1"/>
      <c r="AC62" s="247"/>
      <c r="AD62" s="244"/>
      <c r="AE62" s="37"/>
      <c r="AF62" s="7"/>
      <c r="AG62" s="4"/>
      <c r="AH62" s="4"/>
      <c r="AI62" s="4"/>
      <c r="AJ62" s="1"/>
      <c r="AL62" s="9"/>
      <c r="AM62" t="s">
        <v>199</v>
      </c>
      <c r="BG62" s="1"/>
      <c r="BH62" s="1"/>
      <c r="BI62" s="1"/>
      <c r="BJ62" s="1"/>
      <c r="BK62" s="1"/>
      <c r="BL62" s="1"/>
      <c r="BM62" s="1"/>
      <c r="BN62" s="1"/>
      <c r="BO62" s="1"/>
      <c r="BP62" s="1"/>
      <c r="BQ62" s="1"/>
      <c r="BR62" s="1"/>
      <c r="BS62" s="1"/>
      <c r="BT62" s="1"/>
      <c r="BU62" s="1"/>
      <c r="BV62" s="1"/>
      <c r="BW62" s="1"/>
      <c r="BX62" s="1"/>
      <c r="BY62" s="1"/>
      <c r="BZ62" s="1"/>
      <c r="CA62" s="1"/>
      <c r="CB62" s="1"/>
      <c r="CC62" s="1"/>
      <c r="CD62" s="1"/>
      <c r="CE62" s="1"/>
    </row>
    <row r="63" spans="1:88" ht="16.75" customHeight="1" x14ac:dyDescent="0.55000000000000004">
      <c r="A63" s="280"/>
      <c r="B63" s="612" t="s">
        <v>120</v>
      </c>
      <c r="C63" s="407"/>
      <c r="D63" s="407"/>
      <c r="E63" s="407"/>
      <c r="F63" s="407"/>
      <c r="G63" s="407"/>
      <c r="H63" s="407"/>
      <c r="I63" s="407"/>
      <c r="J63" s="407"/>
      <c r="K63" s="407"/>
      <c r="L63" s="407"/>
      <c r="M63" s="407"/>
      <c r="N63" s="407"/>
      <c r="O63" s="408"/>
      <c r="P63" s="19" t="s">
        <v>72</v>
      </c>
      <c r="Q63" s="19" t="s">
        <v>88</v>
      </c>
      <c r="R63" s="19" t="s">
        <v>115</v>
      </c>
      <c r="S63" s="19" t="s">
        <v>118</v>
      </c>
      <c r="T63" s="20" t="s">
        <v>55</v>
      </c>
      <c r="U63" s="200" t="s">
        <v>49</v>
      </c>
      <c r="V63" s="201"/>
      <c r="W63" s="210" t="s">
        <v>50</v>
      </c>
      <c r="X63" s="210"/>
      <c r="Y63" s="210"/>
      <c r="Z63" s="210"/>
      <c r="AA63" s="210"/>
      <c r="AC63" s="247"/>
      <c r="AE63" s="77"/>
      <c r="AF63" s="7"/>
      <c r="AG63" s="4"/>
      <c r="AH63" s="4"/>
      <c r="AI63" s="4"/>
      <c r="AJ63" s="1"/>
      <c r="AL63" s="9"/>
      <c r="AM63" t="s">
        <v>200</v>
      </c>
      <c r="BG63" s="1"/>
      <c r="BH63" s="1"/>
      <c r="BI63" s="1"/>
      <c r="BJ63" s="1"/>
      <c r="BK63" s="1"/>
      <c r="BL63" s="1"/>
      <c r="BM63" s="1"/>
      <c r="BN63" s="1"/>
      <c r="BO63" s="1"/>
      <c r="BP63" s="1"/>
      <c r="BQ63" s="1"/>
      <c r="BR63" s="1"/>
      <c r="BS63" s="1"/>
      <c r="BT63" s="1"/>
      <c r="BU63" s="1"/>
      <c r="BV63" s="1"/>
      <c r="BW63" s="1"/>
      <c r="BX63" s="1"/>
      <c r="BY63" s="1"/>
      <c r="BZ63" s="1"/>
      <c r="CA63" s="1"/>
      <c r="CB63" s="1"/>
      <c r="CC63" s="1"/>
      <c r="CD63" s="1"/>
      <c r="CE63" s="1"/>
    </row>
    <row r="64" spans="1:88" ht="49.5" customHeight="1" x14ac:dyDescent="0.55000000000000004">
      <c r="A64" s="279"/>
      <c r="B64" s="46"/>
      <c r="C64" s="375" t="s">
        <v>327</v>
      </c>
      <c r="D64" s="375"/>
      <c r="E64" s="375"/>
      <c r="F64" s="375"/>
      <c r="G64" s="375"/>
      <c r="H64" s="375"/>
      <c r="I64" s="375"/>
      <c r="J64" s="375"/>
      <c r="K64" s="375"/>
      <c r="L64" s="375"/>
      <c r="M64" s="375"/>
      <c r="N64" s="375"/>
      <c r="O64" s="375"/>
      <c r="P64" s="22"/>
      <c r="Q64" s="22"/>
      <c r="R64" s="22"/>
      <c r="S64" s="22"/>
      <c r="T64" s="14"/>
      <c r="U64" s="646" t="e">
        <f t="shared" ref="U64:U65" si="8">_xlfn.IFS($P64="Si",1,$Q64="Si",0.5,$R64="Si",0,$S64="Si","N/A")</f>
        <v>#N/A</v>
      </c>
      <c r="V64" s="647" t="e">
        <f t="shared" ref="V64" si="9">_xlfn.IFS($S64="Si",1,$R64="Si",0.5,$U110="Si",0,$V110="Si","N/A")</f>
        <v>#N/A</v>
      </c>
      <c r="W64" s="648"/>
      <c r="X64" s="648"/>
      <c r="Y64" s="648"/>
      <c r="Z64" s="648"/>
      <c r="AA64" s="648"/>
      <c r="AB64" s="185"/>
      <c r="AC64" s="246" t="e">
        <f t="shared" ref="AC64:AC65" si="10">_xlfn.IFS($P64="Si",0,$Q64="si",0,$R64="si",0,$S64="si",1)</f>
        <v>#N/A</v>
      </c>
      <c r="AD64" s="185"/>
      <c r="AE64" s="185"/>
      <c r="AF64" s="7"/>
      <c r="AG64" s="4"/>
      <c r="AH64" s="4"/>
      <c r="AI64" s="4"/>
      <c r="AJ64" s="1"/>
      <c r="AL64" s="9"/>
      <c r="AM64" t="s">
        <v>201</v>
      </c>
      <c r="BG64" s="1"/>
      <c r="BH64" s="1"/>
      <c r="BI64" s="1"/>
      <c r="BJ64" s="1"/>
      <c r="BK64" s="1"/>
      <c r="BL64" s="1"/>
      <c r="BM64" s="1"/>
      <c r="BN64" s="1"/>
      <c r="BO64" s="1"/>
      <c r="BP64" s="1"/>
      <c r="BQ64" s="1"/>
      <c r="BR64" s="1"/>
      <c r="BS64" s="1"/>
      <c r="BT64" s="1"/>
      <c r="BU64" s="1"/>
      <c r="BV64" s="1"/>
      <c r="BW64" s="1"/>
      <c r="BX64" s="1"/>
      <c r="BY64" s="1"/>
      <c r="BZ64" s="1"/>
      <c r="CA64" s="1"/>
      <c r="CB64" s="1"/>
      <c r="CC64" s="1"/>
      <c r="CD64" s="1"/>
      <c r="CE64" s="1"/>
    </row>
    <row r="65" spans="1:83" ht="32.25" customHeight="1" x14ac:dyDescent="0.55000000000000004">
      <c r="A65" s="279"/>
      <c r="B65" s="46"/>
      <c r="C65" s="375" t="s">
        <v>328</v>
      </c>
      <c r="D65" s="375"/>
      <c r="E65" s="375"/>
      <c r="F65" s="375"/>
      <c r="G65" s="375"/>
      <c r="H65" s="375"/>
      <c r="I65" s="375"/>
      <c r="J65" s="375"/>
      <c r="K65" s="375"/>
      <c r="L65" s="375"/>
      <c r="M65" s="375"/>
      <c r="N65" s="375"/>
      <c r="O65" s="375"/>
      <c r="P65" s="22"/>
      <c r="Q65" s="22"/>
      <c r="R65" s="22"/>
      <c r="S65" s="22"/>
      <c r="T65" s="14"/>
      <c r="U65" s="646" t="e">
        <f t="shared" si="8"/>
        <v>#N/A</v>
      </c>
      <c r="V65" s="647" t="e">
        <f>_xlfn.IFS($S65="Si",1,$R65="Si",0.5,$R111="Si",0,$S111="Si","N/A")</f>
        <v>#N/A</v>
      </c>
      <c r="W65" s="648"/>
      <c r="X65" s="648"/>
      <c r="Y65" s="648"/>
      <c r="Z65" s="648"/>
      <c r="AA65" s="648"/>
      <c r="AB65" s="185"/>
      <c r="AC65" s="246" t="e">
        <f t="shared" si="10"/>
        <v>#N/A</v>
      </c>
      <c r="AD65" s="185"/>
      <c r="AE65" s="185"/>
      <c r="AF65" s="7"/>
      <c r="AG65" s="4"/>
      <c r="AH65" s="4"/>
      <c r="AI65" s="4"/>
      <c r="AJ65" s="1"/>
      <c r="AL65" s="9"/>
      <c r="AM65" t="s">
        <v>202</v>
      </c>
      <c r="BG65" s="1"/>
      <c r="BH65" s="1"/>
      <c r="BI65" s="1"/>
      <c r="BJ65" s="1"/>
      <c r="BK65" s="1"/>
      <c r="BL65" s="1"/>
      <c r="BM65" s="1"/>
      <c r="BN65" s="1"/>
      <c r="BO65" s="1"/>
      <c r="BP65" s="1"/>
      <c r="BQ65" s="1"/>
      <c r="BR65" s="1"/>
      <c r="BS65" s="1"/>
      <c r="BT65" s="1"/>
      <c r="BU65" s="1"/>
      <c r="BV65" s="1"/>
      <c r="BW65" s="1"/>
      <c r="BX65" s="1"/>
      <c r="BY65" s="1"/>
      <c r="BZ65" s="1"/>
      <c r="CA65" s="1"/>
      <c r="CB65" s="1"/>
      <c r="CC65" s="1"/>
      <c r="CD65" s="1"/>
      <c r="CE65" s="1"/>
    </row>
    <row r="66" spans="1:83" ht="15.75" customHeight="1" x14ac:dyDescent="0.55000000000000004">
      <c r="A66" s="649" t="s">
        <v>51</v>
      </c>
      <c r="B66" s="650"/>
      <c r="C66" s="650"/>
      <c r="D66" s="650"/>
      <c r="E66" s="650"/>
      <c r="F66" s="650"/>
      <c r="G66" s="650"/>
      <c r="H66" s="650"/>
      <c r="I66" s="650"/>
      <c r="J66" s="650"/>
      <c r="K66" s="650"/>
      <c r="L66" s="650"/>
      <c r="M66" s="650"/>
      <c r="N66" s="650"/>
      <c r="O66" s="650"/>
      <c r="P66" s="650"/>
      <c r="Q66" s="650"/>
      <c r="R66" s="650"/>
      <c r="S66" s="650"/>
      <c r="T66" s="651"/>
      <c r="U66" s="701" t="e">
        <f>SUM(U64:U65)</f>
        <v>#N/A</v>
      </c>
      <c r="V66" s="702"/>
      <c r="W66" s="790"/>
      <c r="X66" s="791"/>
      <c r="Y66" s="791"/>
      <c r="Z66" s="791"/>
      <c r="AA66" s="792"/>
      <c r="AB66" s="185"/>
      <c r="AC66" s="247" t="e">
        <f>SUM(AC64:AC65)</f>
        <v>#N/A</v>
      </c>
      <c r="AD66" s="185"/>
      <c r="AE66" s="185"/>
      <c r="AF66" s="7"/>
      <c r="AG66" s="4"/>
      <c r="AH66" s="4"/>
      <c r="AI66" s="4"/>
      <c r="AJ66" s="1"/>
      <c r="AL66" s="9"/>
      <c r="AM66" t="s">
        <v>203</v>
      </c>
      <c r="BG66" s="1"/>
      <c r="BH66" s="1"/>
      <c r="BI66" s="1"/>
      <c r="BJ66" s="1"/>
      <c r="BK66" s="1"/>
      <c r="BL66" s="1"/>
      <c r="BM66" s="1"/>
      <c r="BN66" s="1"/>
      <c r="BO66" s="1"/>
      <c r="BP66" s="1"/>
      <c r="BQ66" s="1"/>
      <c r="BR66" s="1"/>
      <c r="BS66" s="1"/>
      <c r="BT66" s="1"/>
      <c r="BU66" s="1"/>
      <c r="BV66" s="1"/>
      <c r="BW66" s="1"/>
      <c r="BX66" s="1"/>
      <c r="BY66" s="1"/>
      <c r="BZ66" s="1"/>
      <c r="CA66" s="1"/>
      <c r="CB66" s="1"/>
      <c r="CC66" s="1"/>
      <c r="CD66" s="1"/>
      <c r="CE66" s="1"/>
    </row>
    <row r="67" spans="1:83" ht="15.75" customHeight="1" x14ac:dyDescent="0.55000000000000004">
      <c r="A67" s="726"/>
      <c r="B67" s="726"/>
      <c r="C67" s="726"/>
      <c r="D67" s="726"/>
      <c r="E67" s="726"/>
      <c r="F67" s="726"/>
      <c r="G67" s="726"/>
      <c r="H67" s="726"/>
      <c r="I67" s="726"/>
      <c r="J67" s="726"/>
      <c r="K67" s="726"/>
      <c r="L67" s="726"/>
      <c r="M67" s="726"/>
      <c r="N67" s="726"/>
      <c r="O67" s="726"/>
      <c r="P67" s="726"/>
      <c r="Q67" s="726"/>
      <c r="R67" s="726"/>
      <c r="S67" s="726"/>
      <c r="T67" s="726"/>
      <c r="U67" s="726"/>
      <c r="V67" s="726"/>
      <c r="W67" s="726"/>
      <c r="X67" s="726"/>
      <c r="Y67" s="726"/>
      <c r="Z67" s="726"/>
      <c r="AA67" s="726"/>
      <c r="AB67" s="185"/>
      <c r="AC67" s="247"/>
      <c r="AD67" s="185"/>
      <c r="AE67" s="185"/>
      <c r="AF67" s="7"/>
      <c r="AG67" s="4"/>
      <c r="AH67" s="4"/>
      <c r="AI67" s="4"/>
      <c r="AJ67" s="1"/>
      <c r="AL67" s="9"/>
      <c r="BG67" s="1"/>
      <c r="BH67" s="1"/>
      <c r="BI67" s="1"/>
      <c r="BJ67" s="1"/>
      <c r="BK67" s="1"/>
      <c r="BL67" s="1"/>
      <c r="BM67" s="1"/>
      <c r="BN67" s="1"/>
      <c r="BO67" s="1"/>
      <c r="BP67" s="1"/>
      <c r="BQ67" s="1"/>
      <c r="BR67" s="1"/>
      <c r="BS67" s="1"/>
      <c r="BT67" s="1"/>
      <c r="BU67" s="1"/>
      <c r="BV67" s="1"/>
      <c r="BW67" s="1"/>
      <c r="BX67" s="1"/>
      <c r="BY67" s="1"/>
      <c r="BZ67" s="1"/>
      <c r="CA67" s="1"/>
      <c r="CB67" s="1"/>
      <c r="CC67" s="1"/>
      <c r="CD67" s="1"/>
      <c r="CE67" s="1"/>
    </row>
    <row r="68" spans="1:83" ht="15.75" customHeight="1" x14ac:dyDescent="0.55000000000000004">
      <c r="A68" s="281"/>
      <c r="B68" s="723" t="s">
        <v>121</v>
      </c>
      <c r="C68" s="724"/>
      <c r="D68" s="724"/>
      <c r="E68" s="724"/>
      <c r="F68" s="724"/>
      <c r="G68" s="724"/>
      <c r="H68" s="724"/>
      <c r="I68" s="724"/>
      <c r="J68" s="724"/>
      <c r="K68" s="724"/>
      <c r="L68" s="724"/>
      <c r="M68" s="724"/>
      <c r="N68" s="724"/>
      <c r="O68" s="724"/>
      <c r="P68" s="19" t="s">
        <v>72</v>
      </c>
      <c r="Q68" s="19" t="s">
        <v>88</v>
      </c>
      <c r="R68" s="19" t="s">
        <v>115</v>
      </c>
      <c r="S68" s="19" t="s">
        <v>118</v>
      </c>
      <c r="T68" s="20" t="s">
        <v>55</v>
      </c>
      <c r="U68" s="200" t="s">
        <v>49</v>
      </c>
      <c r="V68" s="201"/>
      <c r="W68" s="411" t="s">
        <v>50</v>
      </c>
      <c r="X68" s="411"/>
      <c r="Y68" s="411"/>
      <c r="Z68" s="411"/>
      <c r="AA68" s="411"/>
      <c r="AC68" s="246"/>
      <c r="AD68" s="77"/>
      <c r="AE68" s="77"/>
      <c r="AF68" s="7"/>
      <c r="AG68" s="4"/>
      <c r="AH68" s="4"/>
      <c r="AI68" s="4"/>
      <c r="AJ68" s="1"/>
      <c r="AL68" s="9"/>
      <c r="AM68" t="s">
        <v>204</v>
      </c>
      <c r="BD68" s="17"/>
      <c r="BG68" s="1"/>
      <c r="BH68" s="1"/>
      <c r="BI68" s="1"/>
      <c r="BJ68" s="1"/>
      <c r="BK68" s="1"/>
      <c r="BL68" s="1"/>
      <c r="BM68" s="1"/>
      <c r="BN68" s="1"/>
      <c r="BO68" s="1"/>
      <c r="BP68" s="1"/>
      <c r="BQ68" s="1"/>
      <c r="BR68" s="1"/>
      <c r="BS68" s="1"/>
      <c r="BT68" s="1"/>
      <c r="BU68" s="1"/>
      <c r="BV68" s="1"/>
      <c r="BW68" s="1"/>
      <c r="BX68" s="1"/>
      <c r="BY68" s="1"/>
      <c r="BZ68" s="1"/>
      <c r="CA68" s="1"/>
      <c r="CB68" s="1"/>
      <c r="CC68" s="1"/>
      <c r="CD68" s="1"/>
      <c r="CE68" s="1"/>
    </row>
    <row r="69" spans="1:83" ht="45.75" customHeight="1" x14ac:dyDescent="0.55000000000000004">
      <c r="A69" s="278"/>
      <c r="B69" s="47"/>
      <c r="C69" s="356" t="s">
        <v>334</v>
      </c>
      <c r="D69" s="357"/>
      <c r="E69" s="357"/>
      <c r="F69" s="357"/>
      <c r="G69" s="357"/>
      <c r="H69" s="357"/>
      <c r="I69" s="357"/>
      <c r="J69" s="357"/>
      <c r="K69" s="357"/>
      <c r="L69" s="357"/>
      <c r="M69" s="357"/>
      <c r="N69" s="357"/>
      <c r="O69" s="357"/>
      <c r="P69" s="22"/>
      <c r="Q69" s="22"/>
      <c r="R69" s="22"/>
      <c r="S69" s="22"/>
      <c r="T69" s="14"/>
      <c r="U69" s="646" t="e">
        <f t="shared" ref="U69" si="11">_xlfn.IFS($P69="Si",1,$Q69="Si",0.5,$R69="Si",0,$S69="Si","N/A")</f>
        <v>#N/A</v>
      </c>
      <c r="V69" s="647" t="e">
        <f t="shared" ref="V69" si="12">_xlfn.IFS($S69="Si",1,$R69="Si",0.5,$U115="Si",0,$V115="Si","N/A")</f>
        <v>#N/A</v>
      </c>
      <c r="W69" s="687"/>
      <c r="X69" s="687"/>
      <c r="Y69" s="687"/>
      <c r="Z69" s="687"/>
      <c r="AA69" s="687"/>
      <c r="AB69" s="185"/>
      <c r="AC69" s="246" t="e">
        <f t="shared" ref="AC69" si="13">_xlfn.IFS($P69="Si",0,$Q69="si",0,$R69="si",0,$S69="si",1)</f>
        <v>#N/A</v>
      </c>
      <c r="AD69" s="185"/>
      <c r="AE69" s="185"/>
      <c r="AF69" s="7"/>
      <c r="AG69" s="4"/>
      <c r="AH69" s="4"/>
      <c r="AI69" s="4"/>
      <c r="AJ69" s="1"/>
      <c r="AL69" s="9"/>
      <c r="AM69" t="s">
        <v>205</v>
      </c>
      <c r="BD69" s="17"/>
      <c r="BG69" s="1"/>
      <c r="BH69" s="1"/>
      <c r="BI69" s="1"/>
      <c r="BJ69" s="1"/>
      <c r="BK69" s="1"/>
      <c r="BL69" s="1"/>
      <c r="BM69" s="1"/>
      <c r="BN69" s="1"/>
      <c r="BO69" s="1"/>
      <c r="BP69" s="1"/>
      <c r="BQ69" s="1"/>
      <c r="BR69" s="1"/>
      <c r="BS69" s="1"/>
      <c r="BT69" s="1"/>
      <c r="BU69" s="1"/>
      <c r="BV69" s="1"/>
      <c r="BW69" s="1"/>
      <c r="BX69" s="1"/>
      <c r="BY69" s="1"/>
      <c r="BZ69" s="1"/>
      <c r="CA69" s="1"/>
      <c r="CB69" s="1"/>
      <c r="CC69" s="1"/>
      <c r="CD69" s="1"/>
      <c r="CE69" s="1"/>
    </row>
    <row r="70" spans="1:83" ht="15.75" customHeight="1" x14ac:dyDescent="0.55000000000000004">
      <c r="A70" s="649" t="s">
        <v>51</v>
      </c>
      <c r="B70" s="650"/>
      <c r="C70" s="650"/>
      <c r="D70" s="650"/>
      <c r="E70" s="650"/>
      <c r="F70" s="650"/>
      <c r="G70" s="650"/>
      <c r="H70" s="650"/>
      <c r="I70" s="650"/>
      <c r="J70" s="650"/>
      <c r="K70" s="650"/>
      <c r="L70" s="650"/>
      <c r="M70" s="650"/>
      <c r="N70" s="650"/>
      <c r="O70" s="650"/>
      <c r="P70" s="650"/>
      <c r="Q70" s="650"/>
      <c r="R70" s="650"/>
      <c r="S70" s="650"/>
      <c r="T70" s="651"/>
      <c r="U70" s="701" t="e">
        <f>SUM(U69)</f>
        <v>#N/A</v>
      </c>
      <c r="V70" s="702"/>
      <c r="W70" s="709"/>
      <c r="X70" s="709"/>
      <c r="Y70" s="709"/>
      <c r="Z70" s="709"/>
      <c r="AA70" s="709"/>
      <c r="AB70" s="185"/>
      <c r="AC70" s="105" t="e">
        <f>SUM(AC69)</f>
        <v>#N/A</v>
      </c>
      <c r="AD70" s="185"/>
      <c r="AE70" s="185"/>
      <c r="AF70" s="7"/>
      <c r="AG70" s="4"/>
      <c r="AH70" s="4"/>
      <c r="AI70" s="4"/>
      <c r="AJ70" s="1"/>
      <c r="AL70" s="10">
        <v>10</v>
      </c>
      <c r="AM70" s="10" t="s">
        <v>260</v>
      </c>
      <c r="BD70" s="17"/>
      <c r="BG70" s="1"/>
      <c r="BH70" s="1"/>
      <c r="BI70" s="1"/>
      <c r="BJ70" s="1"/>
      <c r="BK70" s="1"/>
      <c r="BL70" s="1"/>
      <c r="BM70" s="1"/>
      <c r="BN70" s="1"/>
      <c r="BO70" s="1"/>
      <c r="BP70" s="1"/>
      <c r="BQ70" s="1"/>
      <c r="BR70" s="1"/>
      <c r="BS70" s="1"/>
      <c r="BT70" s="1"/>
      <c r="BU70" s="1"/>
      <c r="BV70" s="1"/>
      <c r="BW70" s="1"/>
      <c r="BX70" s="1"/>
      <c r="BY70" s="1"/>
      <c r="BZ70" s="1"/>
      <c r="CA70" s="1"/>
      <c r="CB70" s="1"/>
      <c r="CC70" s="1"/>
      <c r="CD70" s="1"/>
      <c r="CE70" s="1"/>
    </row>
    <row r="71" spans="1:83" ht="15.75" customHeight="1" x14ac:dyDescent="0.55000000000000004">
      <c r="A71" s="485"/>
      <c r="B71" s="550"/>
      <c r="C71" s="550"/>
      <c r="D71" s="550"/>
      <c r="E71" s="550"/>
      <c r="F71" s="550"/>
      <c r="G71" s="550"/>
      <c r="H71" s="550"/>
      <c r="I71" s="550"/>
      <c r="J71" s="550"/>
      <c r="K71" s="550"/>
      <c r="L71" s="550"/>
      <c r="M71" s="550"/>
      <c r="N71" s="550"/>
      <c r="O71" s="550"/>
      <c r="P71" s="550"/>
      <c r="Q71" s="550"/>
      <c r="R71" s="550"/>
      <c r="S71" s="550"/>
      <c r="T71" s="550"/>
      <c r="U71" s="550"/>
      <c r="V71" s="550"/>
      <c r="W71" s="550"/>
      <c r="X71" s="550"/>
      <c r="Y71" s="550"/>
      <c r="Z71" s="550"/>
      <c r="AA71" s="551"/>
      <c r="AC71" s="105"/>
      <c r="AL71" s="106"/>
      <c r="AM71" s="107" t="s">
        <v>206</v>
      </c>
      <c r="AN71" s="105"/>
      <c r="AO71" s="105"/>
      <c r="AP71" s="105"/>
      <c r="AQ71" s="105"/>
      <c r="AR71" s="105"/>
      <c r="AS71" s="105"/>
      <c r="AT71" s="105"/>
      <c r="AU71" s="105"/>
      <c r="AV71" s="105"/>
      <c r="AW71" s="105"/>
      <c r="AX71" s="105"/>
      <c r="AY71" s="105"/>
      <c r="AZ71" s="105"/>
      <c r="BA71" s="105"/>
      <c r="BB71" s="105"/>
      <c r="BC71" s="105"/>
      <c r="BD71" s="108"/>
      <c r="BE71" s="105"/>
      <c r="BF71" s="105"/>
      <c r="BG71" s="104"/>
      <c r="BH71" s="104"/>
      <c r="BI71" s="104"/>
      <c r="BJ71" s="104"/>
      <c r="BK71" s="104"/>
      <c r="BL71" s="104"/>
      <c r="BM71" s="104"/>
      <c r="BN71" s="104"/>
      <c r="BO71" s="104"/>
      <c r="BP71" s="104"/>
      <c r="BQ71" s="104"/>
      <c r="BR71" s="104"/>
      <c r="BS71" s="104"/>
      <c r="BT71" s="104"/>
      <c r="BU71" s="104"/>
      <c r="BV71" s="1"/>
      <c r="BW71" s="1"/>
      <c r="BX71" s="1"/>
      <c r="BY71" s="1"/>
      <c r="BZ71" s="1"/>
      <c r="CA71" s="1"/>
      <c r="CB71" s="1"/>
      <c r="CC71" s="1"/>
      <c r="CD71" s="1"/>
      <c r="CE71" s="1"/>
    </row>
    <row r="72" spans="1:83" ht="34.75" customHeight="1" x14ac:dyDescent="0.55000000000000004">
      <c r="A72" s="281"/>
      <c r="B72" s="697" t="s">
        <v>140</v>
      </c>
      <c r="C72" s="698"/>
      <c r="D72" s="698"/>
      <c r="E72" s="698"/>
      <c r="F72" s="698"/>
      <c r="G72" s="698"/>
      <c r="H72" s="698"/>
      <c r="I72" s="698"/>
      <c r="J72" s="698"/>
      <c r="K72" s="698"/>
      <c r="L72" s="698"/>
      <c r="M72" s="698"/>
      <c r="N72" s="698"/>
      <c r="O72" s="699"/>
      <c r="P72" s="27" t="s">
        <v>72</v>
      </c>
      <c r="Q72" s="27" t="s">
        <v>88</v>
      </c>
      <c r="R72" s="27" t="s">
        <v>115</v>
      </c>
      <c r="S72" s="27" t="s">
        <v>118</v>
      </c>
      <c r="T72" s="28" t="s">
        <v>55</v>
      </c>
      <c r="U72" s="200" t="s">
        <v>49</v>
      </c>
      <c r="V72" s="201"/>
      <c r="W72" s="210" t="s">
        <v>50</v>
      </c>
      <c r="X72" s="210"/>
      <c r="Y72" s="210"/>
      <c r="Z72" s="217"/>
      <c r="AA72" s="217"/>
      <c r="AC72" s="246"/>
      <c r="AE72" s="77"/>
      <c r="AL72" s="9"/>
      <c r="AM72" s="62" t="s">
        <v>207</v>
      </c>
      <c r="BD72" s="17"/>
      <c r="BG72" s="1"/>
      <c r="BH72" s="1"/>
      <c r="BI72" s="1"/>
      <c r="BJ72" s="1"/>
      <c r="BK72" s="1"/>
      <c r="BL72" s="1"/>
      <c r="BM72" s="1"/>
      <c r="BN72" s="1"/>
      <c r="BO72" s="1"/>
      <c r="BP72" s="1"/>
      <c r="BQ72" s="1"/>
      <c r="BR72" s="1"/>
      <c r="BS72" s="1"/>
      <c r="BT72" s="1"/>
      <c r="BU72" s="1"/>
      <c r="BV72" s="1"/>
      <c r="BW72" s="1"/>
      <c r="BX72" s="1"/>
      <c r="BY72" s="1"/>
      <c r="BZ72" s="1"/>
      <c r="CA72" s="1"/>
      <c r="CB72" s="1"/>
      <c r="CC72" s="1"/>
      <c r="CD72" s="1"/>
      <c r="CE72" s="1"/>
    </row>
    <row r="73" spans="1:83" ht="54" customHeight="1" x14ac:dyDescent="0.55000000000000004">
      <c r="A73" s="278"/>
      <c r="B73" s="47"/>
      <c r="C73" s="700" t="s">
        <v>339</v>
      </c>
      <c r="D73" s="700"/>
      <c r="E73" s="700"/>
      <c r="F73" s="700"/>
      <c r="G73" s="700"/>
      <c r="H73" s="700"/>
      <c r="I73" s="700"/>
      <c r="J73" s="700"/>
      <c r="K73" s="700"/>
      <c r="L73" s="700"/>
      <c r="M73" s="700"/>
      <c r="N73" s="700"/>
      <c r="O73" s="700"/>
      <c r="P73" s="22"/>
      <c r="Q73" s="22"/>
      <c r="R73" s="22"/>
      <c r="S73" s="22"/>
      <c r="T73" s="14"/>
      <c r="U73" s="646" t="e">
        <f t="shared" ref="U73" si="14">_xlfn.IFS($P73="Si",1,$Q73="Si",0.5,$R73="Si",0,$S73="Si","N/A")</f>
        <v>#N/A</v>
      </c>
      <c r="V73" s="647" t="e">
        <f t="shared" ref="V73" si="15">_xlfn.IFS($S73="Si",1,$R73="Si",0.5,$U119="Si",0,$V119="Si","N/A")</f>
        <v>#N/A</v>
      </c>
      <c r="W73" s="703"/>
      <c r="X73" s="704"/>
      <c r="Y73" s="704"/>
      <c r="Z73" s="704"/>
      <c r="AA73" s="705"/>
      <c r="AB73" s="185"/>
      <c r="AC73" s="246" t="e">
        <f t="shared" ref="AC73" si="16">_xlfn.IFS($P73="Si",0,$Q73="si",0,$R73="si",0,$S73="si",1)</f>
        <v>#N/A</v>
      </c>
      <c r="AD73" s="185"/>
      <c r="AE73" s="185"/>
      <c r="AF73" s="7"/>
      <c r="AG73" s="4"/>
      <c r="AH73" s="4"/>
      <c r="AI73" s="4"/>
      <c r="AJ73" s="1"/>
      <c r="AL73" s="9"/>
      <c r="AM73" s="62" t="s">
        <v>208</v>
      </c>
      <c r="BD73" s="17"/>
      <c r="BG73" s="1"/>
      <c r="BH73" s="1"/>
      <c r="BI73" s="1"/>
      <c r="BJ73" s="1"/>
      <c r="BK73" s="1"/>
      <c r="BL73" s="1"/>
      <c r="BM73" s="1"/>
      <c r="BN73" s="1"/>
      <c r="BO73" s="1"/>
      <c r="BP73" s="1"/>
      <c r="BQ73" s="1"/>
      <c r="BR73" s="1"/>
      <c r="BS73" s="1"/>
      <c r="BT73" s="1"/>
      <c r="BU73" s="1"/>
      <c r="BV73" s="1"/>
      <c r="BW73" s="1"/>
      <c r="BX73" s="1"/>
      <c r="BY73" s="1"/>
      <c r="BZ73" s="1"/>
      <c r="CA73" s="1"/>
      <c r="CB73" s="1"/>
      <c r="CC73" s="1"/>
      <c r="CD73" s="1"/>
      <c r="CE73" s="1"/>
    </row>
    <row r="74" spans="1:83" ht="15.75" customHeight="1" x14ac:dyDescent="0.55000000000000004">
      <c r="A74" s="649" t="s">
        <v>51</v>
      </c>
      <c r="B74" s="650"/>
      <c r="C74" s="650"/>
      <c r="D74" s="650"/>
      <c r="E74" s="650"/>
      <c r="F74" s="650"/>
      <c r="G74" s="650"/>
      <c r="H74" s="650"/>
      <c r="I74" s="650"/>
      <c r="J74" s="650"/>
      <c r="K74" s="650"/>
      <c r="L74" s="650"/>
      <c r="M74" s="650"/>
      <c r="N74" s="650"/>
      <c r="O74" s="650"/>
      <c r="P74" s="650"/>
      <c r="Q74" s="650"/>
      <c r="R74" s="650"/>
      <c r="S74" s="650"/>
      <c r="T74" s="651"/>
      <c r="U74" s="701" t="e">
        <f>SUM(U73)</f>
        <v>#N/A</v>
      </c>
      <c r="V74" s="702"/>
      <c r="W74" s="681"/>
      <c r="X74" s="682"/>
      <c r="Y74" s="682"/>
      <c r="Z74" s="682"/>
      <c r="AA74" s="683"/>
      <c r="AC74" s="247" t="e">
        <f>SUM(AC73)</f>
        <v>#N/A</v>
      </c>
      <c r="AF74" s="7"/>
      <c r="AG74" s="4"/>
      <c r="AH74" s="4"/>
      <c r="AI74" s="4"/>
      <c r="AJ74" s="1"/>
      <c r="AL74" s="9"/>
      <c r="AM74" s="62" t="s">
        <v>209</v>
      </c>
      <c r="BG74" s="1"/>
      <c r="BH74" s="1"/>
      <c r="BI74" s="1"/>
      <c r="BJ74" s="1"/>
      <c r="BK74" s="1"/>
      <c r="BL74" s="1"/>
      <c r="BM74" s="1"/>
      <c r="BN74" s="1"/>
      <c r="BO74" s="1"/>
      <c r="BP74" s="1"/>
      <c r="BQ74" s="1"/>
      <c r="BR74" s="1"/>
      <c r="BS74" s="1"/>
      <c r="BT74" s="1"/>
      <c r="BU74" s="1"/>
      <c r="BV74" s="1"/>
      <c r="BW74" s="1"/>
      <c r="BX74" s="1"/>
      <c r="BY74" s="1"/>
      <c r="BZ74" s="1"/>
      <c r="CA74" s="1"/>
      <c r="CB74" s="1"/>
      <c r="CC74" s="1"/>
      <c r="CD74" s="1"/>
      <c r="CE74" s="1"/>
    </row>
    <row r="75" spans="1:83" ht="16.75" customHeight="1" x14ac:dyDescent="0.55000000000000004">
      <c r="A75" s="485"/>
      <c r="B75" s="550"/>
      <c r="C75" s="550"/>
      <c r="D75" s="550"/>
      <c r="E75" s="550"/>
      <c r="F75" s="550"/>
      <c r="G75" s="550"/>
      <c r="H75" s="550"/>
      <c r="I75" s="550"/>
      <c r="J75" s="550"/>
      <c r="K75" s="550"/>
      <c r="L75" s="550"/>
      <c r="M75" s="550"/>
      <c r="N75" s="550"/>
      <c r="O75" s="550"/>
      <c r="P75" s="550"/>
      <c r="Q75" s="550"/>
      <c r="R75" s="550"/>
      <c r="S75" s="550"/>
      <c r="T75" s="550"/>
      <c r="U75" s="550"/>
      <c r="V75" s="550"/>
      <c r="W75" s="550"/>
      <c r="X75" s="550"/>
      <c r="Y75" s="550"/>
      <c r="Z75" s="550"/>
      <c r="AA75" s="551"/>
      <c r="AC75" s="247"/>
      <c r="AD75" s="245"/>
      <c r="AE75" s="66"/>
      <c r="AF75" s="7"/>
      <c r="AG75" s="4"/>
      <c r="AH75" s="4"/>
      <c r="AI75" s="4"/>
      <c r="AJ75" s="1"/>
      <c r="AL75" s="9"/>
      <c r="AM75" s="62" t="s">
        <v>210</v>
      </c>
      <c r="BG75" s="1"/>
      <c r="BH75" s="1"/>
      <c r="BI75" s="1"/>
      <c r="BJ75" s="1"/>
      <c r="BK75" s="1"/>
      <c r="BL75" s="1"/>
      <c r="BM75" s="1"/>
      <c r="BN75" s="1"/>
      <c r="BO75" s="1"/>
      <c r="BP75" s="1"/>
      <c r="BQ75" s="1"/>
      <c r="BR75" s="1"/>
      <c r="BS75" s="1"/>
      <c r="BT75" s="1"/>
      <c r="BU75" s="1"/>
      <c r="BV75" s="1"/>
      <c r="BW75" s="1"/>
      <c r="BX75" s="1"/>
      <c r="BY75" s="1"/>
      <c r="BZ75" s="1"/>
      <c r="CA75" s="1"/>
      <c r="CB75" s="1"/>
      <c r="CC75" s="1"/>
      <c r="CD75" s="1"/>
      <c r="CE75" s="1"/>
    </row>
    <row r="76" spans="1:83" ht="15.75" customHeight="1" x14ac:dyDescent="0.55000000000000004">
      <c r="A76" s="367" t="s">
        <v>90</v>
      </c>
      <c r="B76" s="368"/>
      <c r="C76" s="368"/>
      <c r="D76" s="368"/>
      <c r="E76" s="368"/>
      <c r="F76" s="368"/>
      <c r="G76" s="368"/>
      <c r="H76" s="368"/>
      <c r="I76" s="368"/>
      <c r="J76" s="368"/>
      <c r="K76" s="368"/>
      <c r="L76" s="368"/>
      <c r="M76" s="368"/>
      <c r="N76" s="368"/>
      <c r="O76" s="368"/>
      <c r="P76" s="368"/>
      <c r="Q76" s="368"/>
      <c r="R76" s="368"/>
      <c r="S76" s="368"/>
      <c r="T76" s="368"/>
      <c r="U76" s="368"/>
      <c r="V76" s="368"/>
      <c r="W76" s="368"/>
      <c r="X76" s="368"/>
      <c r="Y76" s="368"/>
      <c r="Z76" s="368"/>
      <c r="AA76" s="369"/>
      <c r="AB76" s="15"/>
      <c r="AC76" s="247"/>
      <c r="AD76" s="15"/>
      <c r="AE76" s="15"/>
      <c r="AF76" s="7"/>
      <c r="AG76" s="4"/>
      <c r="AI76" s="4"/>
      <c r="AJ76" s="1"/>
      <c r="AL76" s="10">
        <v>11</v>
      </c>
      <c r="AM76" s="10" t="s">
        <v>261</v>
      </c>
      <c r="BG76" s="1"/>
      <c r="BH76" s="1"/>
      <c r="BI76" s="1"/>
      <c r="BJ76" s="1"/>
      <c r="BK76" s="1"/>
      <c r="BL76" s="1"/>
      <c r="BM76" s="1"/>
      <c r="BN76" s="1"/>
      <c r="BO76" s="1"/>
      <c r="BP76" s="1"/>
      <c r="BQ76" s="1"/>
      <c r="BR76" s="1"/>
      <c r="BS76" s="1"/>
      <c r="BT76" s="1"/>
      <c r="BU76" s="1"/>
      <c r="BV76" s="1"/>
      <c r="BW76" s="1"/>
      <c r="BX76" s="1"/>
      <c r="BY76" s="1"/>
      <c r="BZ76" s="1"/>
      <c r="CA76" s="1"/>
      <c r="CB76" s="1"/>
      <c r="CC76" s="1"/>
      <c r="CD76" s="1"/>
      <c r="CE76" s="1"/>
    </row>
    <row r="77" spans="1:83" ht="15.75" customHeight="1" x14ac:dyDescent="0.55000000000000004">
      <c r="A77" s="612" t="s">
        <v>91</v>
      </c>
      <c r="B77" s="407"/>
      <c r="C77" s="407"/>
      <c r="D77" s="407"/>
      <c r="E77" s="407"/>
      <c r="F77" s="407"/>
      <c r="G77" s="407"/>
      <c r="H77" s="407"/>
      <c r="I77" s="407"/>
      <c r="J77" s="407"/>
      <c r="K77" s="407"/>
      <c r="L77" s="407"/>
      <c r="M77" s="407"/>
      <c r="N77" s="407"/>
      <c r="O77" s="408"/>
      <c r="P77" s="219" t="s">
        <v>72</v>
      </c>
      <c r="Q77" s="219" t="s">
        <v>88</v>
      </c>
      <c r="R77" s="219" t="s">
        <v>115</v>
      </c>
      <c r="S77" s="219" t="s">
        <v>118</v>
      </c>
      <c r="T77" s="220" t="s">
        <v>55</v>
      </c>
      <c r="U77" s="212" t="s">
        <v>49</v>
      </c>
      <c r="V77" s="221"/>
      <c r="W77" s="211" t="s">
        <v>50</v>
      </c>
      <c r="X77" s="211"/>
      <c r="Y77" s="211"/>
      <c r="Z77" s="211"/>
      <c r="AA77" s="282"/>
      <c r="AC77" s="246"/>
      <c r="AD77" s="77"/>
      <c r="AE77" s="77"/>
      <c r="AF77" s="7"/>
      <c r="AG77" s="4"/>
      <c r="AH77" s="4"/>
      <c r="AI77" s="4"/>
      <c r="AJ77" s="1"/>
      <c r="AL77" s="9"/>
      <c r="AM77" s="62" t="s">
        <v>211</v>
      </c>
      <c r="BG77" s="1"/>
      <c r="BH77" s="1"/>
      <c r="BI77" s="1"/>
      <c r="BJ77" s="1"/>
      <c r="BK77" s="1"/>
      <c r="BL77" s="1"/>
      <c r="BM77" s="1"/>
      <c r="BN77" s="1"/>
      <c r="BO77" s="1"/>
      <c r="BP77" s="1"/>
      <c r="BQ77" s="1"/>
      <c r="BR77" s="1"/>
      <c r="BS77" s="1"/>
      <c r="BT77" s="1"/>
      <c r="BU77" s="1"/>
      <c r="BV77" s="1"/>
      <c r="BW77" s="1"/>
      <c r="BX77" s="1"/>
      <c r="BY77" s="1"/>
      <c r="BZ77" s="1"/>
      <c r="CA77" s="1"/>
      <c r="CB77" s="1"/>
      <c r="CC77" s="1"/>
      <c r="CD77" s="1"/>
      <c r="CE77" s="1"/>
    </row>
    <row r="78" spans="1:83" ht="62.25" customHeight="1" x14ac:dyDescent="0.55000000000000004">
      <c r="A78" s="222"/>
      <c r="B78" s="375" t="s">
        <v>346</v>
      </c>
      <c r="C78" s="375"/>
      <c r="D78" s="375"/>
      <c r="E78" s="375"/>
      <c r="F78" s="375"/>
      <c r="G78" s="375"/>
      <c r="H78" s="375"/>
      <c r="I78" s="375"/>
      <c r="J78" s="375"/>
      <c r="K78" s="375"/>
      <c r="L78" s="375"/>
      <c r="M78" s="375"/>
      <c r="N78" s="375"/>
      <c r="O78" s="375"/>
      <c r="P78" s="22"/>
      <c r="Q78" s="22"/>
      <c r="R78" s="22"/>
      <c r="S78" s="22"/>
      <c r="T78" s="14"/>
      <c r="U78" s="688" t="e">
        <f t="shared" ref="U78:U79" si="17">_xlfn.IFS($P78="Si",1,$Q78="Si",0.5,$R78="Si",0,$S78="Si","N/A")</f>
        <v>#N/A</v>
      </c>
      <c r="V78" s="688" t="e">
        <f>_xlfn.IFS($S78="Si",1,$R78="Si",0.5,$R124="Si",0,$S124="Si","N/A")</f>
        <v>#N/A</v>
      </c>
      <c r="W78" s="687"/>
      <c r="X78" s="687"/>
      <c r="Y78" s="687"/>
      <c r="Z78" s="687"/>
      <c r="AA78" s="687"/>
      <c r="AB78" s="199"/>
      <c r="AC78" s="246" t="e">
        <f t="shared" ref="AC78:AC79" si="18">_xlfn.IFS($P78="Si",0,$Q78="si",0,$R78="si",0,$S78="si",1)</f>
        <v>#N/A</v>
      </c>
      <c r="AD78" s="199"/>
      <c r="AE78" s="199"/>
      <c r="AF78" s="7"/>
      <c r="AG78" s="4"/>
      <c r="AH78" s="4"/>
      <c r="AI78" s="4"/>
      <c r="AJ78" s="1"/>
      <c r="AL78" s="9"/>
      <c r="AM78" s="62" t="s">
        <v>212</v>
      </c>
      <c r="BG78" s="1"/>
      <c r="BH78" s="1"/>
      <c r="BI78" s="1"/>
      <c r="BJ78" s="1"/>
      <c r="BK78" s="1"/>
      <c r="BL78" s="1"/>
      <c r="BM78" s="1"/>
      <c r="BN78" s="1"/>
      <c r="BO78" s="1"/>
      <c r="BP78" s="1"/>
      <c r="BQ78" s="1"/>
      <c r="BR78" s="1"/>
      <c r="BS78" s="1"/>
      <c r="BT78" s="1"/>
      <c r="BU78" s="1"/>
      <c r="BV78" s="1"/>
      <c r="BW78" s="1"/>
      <c r="BX78" s="1"/>
      <c r="BY78" s="1"/>
      <c r="BZ78" s="1"/>
      <c r="CA78" s="1"/>
      <c r="CB78" s="1"/>
      <c r="CC78" s="1"/>
      <c r="CD78" s="1"/>
      <c r="CE78" s="1"/>
    </row>
    <row r="79" spans="1:83" ht="141" customHeight="1" x14ac:dyDescent="0.55000000000000004">
      <c r="A79" s="222"/>
      <c r="B79" s="375" t="s">
        <v>347</v>
      </c>
      <c r="C79" s="375"/>
      <c r="D79" s="375"/>
      <c r="E79" s="375"/>
      <c r="F79" s="375"/>
      <c r="G79" s="375"/>
      <c r="H79" s="375"/>
      <c r="I79" s="375"/>
      <c r="J79" s="375"/>
      <c r="K79" s="375"/>
      <c r="L79" s="375"/>
      <c r="M79" s="375"/>
      <c r="N79" s="375"/>
      <c r="O79" s="375"/>
      <c r="P79" s="22"/>
      <c r="Q79" s="22"/>
      <c r="R79" s="22"/>
      <c r="S79" s="22"/>
      <c r="T79" s="14"/>
      <c r="U79" s="688" t="e">
        <f t="shared" si="17"/>
        <v>#N/A</v>
      </c>
      <c r="V79" s="688" t="e">
        <f t="shared" ref="V79" si="19">_xlfn.IFS($S79="Si",1,$R79="Si",0.5,$U125="Si",0,$V125="Si","N/A")</f>
        <v>#N/A</v>
      </c>
      <c r="W79" s="687"/>
      <c r="X79" s="687"/>
      <c r="Y79" s="687"/>
      <c r="Z79" s="687"/>
      <c r="AA79" s="687"/>
      <c r="AB79" s="1"/>
      <c r="AC79" s="246" t="e">
        <f t="shared" si="18"/>
        <v>#N/A</v>
      </c>
      <c r="AD79" s="1"/>
      <c r="AE79" s="1"/>
      <c r="AF79" s="3"/>
      <c r="AG79" s="1"/>
      <c r="AH79" s="1"/>
      <c r="AI79" s="1"/>
      <c r="AJ79" s="1"/>
      <c r="AL79" s="9"/>
      <c r="AM79" s="62" t="s">
        <v>213</v>
      </c>
      <c r="BD79" s="17"/>
      <c r="BG79" s="1"/>
      <c r="BH79" s="1"/>
      <c r="BI79" s="1"/>
      <c r="BJ79" s="1"/>
      <c r="BK79" s="1"/>
      <c r="BL79" s="1"/>
      <c r="BM79" s="1"/>
      <c r="BN79" s="1"/>
      <c r="BO79" s="1"/>
      <c r="BP79" s="1"/>
      <c r="BQ79" s="1"/>
      <c r="BR79" s="1"/>
      <c r="BS79" s="1"/>
      <c r="BT79" s="1"/>
      <c r="BU79" s="1"/>
      <c r="BV79" s="1"/>
      <c r="BW79" s="1"/>
      <c r="BX79" s="1"/>
      <c r="BY79" s="1"/>
      <c r="BZ79" s="1"/>
      <c r="CA79" s="1"/>
      <c r="CB79" s="1"/>
      <c r="CC79" s="1"/>
      <c r="CD79" s="1"/>
      <c r="CE79" s="1"/>
    </row>
    <row r="80" spans="1:83" ht="16.75" customHeight="1" x14ac:dyDescent="0.55000000000000004">
      <c r="A80" s="684" t="s">
        <v>51</v>
      </c>
      <c r="B80" s="684"/>
      <c r="C80" s="684"/>
      <c r="D80" s="684"/>
      <c r="E80" s="684"/>
      <c r="F80" s="684"/>
      <c r="G80" s="684"/>
      <c r="H80" s="684"/>
      <c r="I80" s="684"/>
      <c r="J80" s="684"/>
      <c r="K80" s="684"/>
      <c r="L80" s="684"/>
      <c r="M80" s="684"/>
      <c r="N80" s="684"/>
      <c r="O80" s="684"/>
      <c r="P80" s="684"/>
      <c r="Q80" s="684"/>
      <c r="R80" s="684"/>
      <c r="S80" s="684"/>
      <c r="T80" s="684"/>
      <c r="U80" s="685" t="e">
        <f>SUM(U78:U79)</f>
        <v>#N/A</v>
      </c>
      <c r="V80" s="685"/>
      <c r="W80" s="709"/>
      <c r="X80" s="709"/>
      <c r="Y80" s="709"/>
      <c r="Z80" s="709"/>
      <c r="AA80" s="709"/>
      <c r="AC80" s="104" t="e">
        <f>SUM(AC78:AC79)</f>
        <v>#N/A</v>
      </c>
      <c r="AF80" s="3"/>
      <c r="AG80" s="1"/>
      <c r="AH80" s="1"/>
      <c r="AI80" s="1"/>
      <c r="AJ80" s="1"/>
      <c r="AL80" s="9"/>
      <c r="AM80" s="62" t="s">
        <v>214</v>
      </c>
      <c r="BD80" s="17"/>
      <c r="BG80" s="1"/>
      <c r="BH80" s="1"/>
      <c r="BI80" s="1"/>
      <c r="BJ80" s="1"/>
      <c r="BK80" s="1"/>
      <c r="BL80" s="1"/>
      <c r="BM80" s="1"/>
      <c r="BN80" s="1"/>
      <c r="BO80" s="1"/>
      <c r="BP80" s="1"/>
      <c r="BQ80" s="1"/>
      <c r="BR80" s="1"/>
      <c r="BS80" s="1"/>
      <c r="BT80" s="1"/>
      <c r="BU80" s="1"/>
      <c r="BV80" s="1"/>
      <c r="BW80" s="1"/>
      <c r="BX80" s="1"/>
      <c r="BY80" s="1"/>
      <c r="BZ80" s="1"/>
      <c r="CA80" s="1"/>
      <c r="CB80" s="1"/>
      <c r="CC80" s="1"/>
      <c r="CD80" s="1"/>
      <c r="CE80" s="1"/>
    </row>
    <row r="81" spans="1:83" ht="16.75" customHeight="1" x14ac:dyDescent="0.55000000000000004">
      <c r="A81" s="539"/>
      <c r="B81" s="539"/>
      <c r="C81" s="539"/>
      <c r="D81" s="539"/>
      <c r="E81" s="539"/>
      <c r="F81" s="539"/>
      <c r="G81" s="539"/>
      <c r="H81" s="539"/>
      <c r="I81" s="539"/>
      <c r="J81" s="539"/>
      <c r="K81" s="539"/>
      <c r="L81" s="539"/>
      <c r="M81" s="539"/>
      <c r="N81" s="539"/>
      <c r="O81" s="539"/>
      <c r="P81" s="539"/>
      <c r="Q81" s="539"/>
      <c r="R81" s="539"/>
      <c r="S81" s="539"/>
      <c r="T81" s="539"/>
      <c r="U81" s="539"/>
      <c r="V81" s="539"/>
      <c r="W81" s="539"/>
      <c r="X81" s="539"/>
      <c r="Y81" s="539"/>
      <c r="Z81" s="539"/>
      <c r="AA81" s="539"/>
      <c r="AB81" s="1"/>
      <c r="AC81" s="105"/>
      <c r="AD81" s="1"/>
      <c r="AE81" s="1"/>
      <c r="AF81" s="1"/>
      <c r="AG81" s="1"/>
      <c r="AL81" s="9"/>
      <c r="AM81" s="62" t="s">
        <v>215</v>
      </c>
      <c r="BD81" s="17"/>
      <c r="BG81" s="1"/>
      <c r="BH81" s="1"/>
      <c r="BI81" s="1"/>
      <c r="BJ81" s="1"/>
      <c r="BK81" s="1"/>
      <c r="BL81" s="1"/>
      <c r="BM81" s="1"/>
      <c r="BN81" s="1"/>
      <c r="BO81" s="1"/>
      <c r="BP81" s="1"/>
      <c r="BQ81" s="1"/>
      <c r="BR81" s="1"/>
      <c r="BS81" s="1"/>
      <c r="BT81" s="1"/>
      <c r="BU81" s="1"/>
      <c r="BV81" s="1"/>
      <c r="BW81" s="1"/>
      <c r="BX81" s="1"/>
      <c r="BY81" s="1"/>
      <c r="BZ81" s="1"/>
      <c r="CA81" s="1"/>
      <c r="CB81" s="1"/>
      <c r="CC81" s="1"/>
      <c r="CD81" s="1"/>
      <c r="CE81" s="1"/>
    </row>
    <row r="82" spans="1:83" ht="15.75" customHeight="1" x14ac:dyDescent="0.55000000000000004">
      <c r="A82" s="612" t="s">
        <v>92</v>
      </c>
      <c r="B82" s="407"/>
      <c r="C82" s="407"/>
      <c r="D82" s="407"/>
      <c r="E82" s="407"/>
      <c r="F82" s="407"/>
      <c r="G82" s="407"/>
      <c r="H82" s="407"/>
      <c r="I82" s="407"/>
      <c r="J82" s="407"/>
      <c r="K82" s="407"/>
      <c r="L82" s="407"/>
      <c r="M82" s="407"/>
      <c r="N82" s="407"/>
      <c r="O82" s="408"/>
      <c r="P82" s="128" t="s">
        <v>72</v>
      </c>
      <c r="Q82" s="128" t="s">
        <v>88</v>
      </c>
      <c r="R82" s="128" t="s">
        <v>115</v>
      </c>
      <c r="S82" s="128" t="s">
        <v>118</v>
      </c>
      <c r="T82" s="129" t="s">
        <v>55</v>
      </c>
      <c r="U82" s="218" t="s">
        <v>49</v>
      </c>
      <c r="V82" s="215"/>
      <c r="W82" s="217" t="s">
        <v>50</v>
      </c>
      <c r="X82" s="217"/>
      <c r="Y82" s="210"/>
      <c r="Z82" s="210"/>
      <c r="AA82" s="210"/>
      <c r="AC82" s="246"/>
      <c r="AE82" s="77"/>
      <c r="AF82" s="1"/>
      <c r="AL82" s="10">
        <v>12</v>
      </c>
      <c r="AM82" s="10" t="s">
        <v>262</v>
      </c>
      <c r="AO82" s="122"/>
      <c r="BD82" s="17"/>
      <c r="BG82" s="1"/>
      <c r="BH82" s="1"/>
      <c r="BI82" s="1"/>
      <c r="BJ82" s="1"/>
      <c r="BK82" s="1"/>
      <c r="BL82" s="1"/>
      <c r="BM82" s="1"/>
      <c r="BN82" s="1"/>
      <c r="BO82" s="1"/>
      <c r="BP82" s="1"/>
      <c r="BQ82" s="1"/>
      <c r="BR82" s="1"/>
      <c r="BS82" s="1"/>
      <c r="BT82" s="1"/>
      <c r="BU82" s="1"/>
      <c r="BV82" s="1"/>
      <c r="BW82" s="1"/>
      <c r="BX82" s="1"/>
      <c r="BY82" s="1"/>
      <c r="BZ82" s="1"/>
      <c r="CA82" s="1"/>
      <c r="CB82" s="1"/>
      <c r="CC82" s="1"/>
      <c r="CD82" s="1"/>
      <c r="CE82" s="1"/>
    </row>
    <row r="83" spans="1:83" ht="96" customHeight="1" x14ac:dyDescent="0.55000000000000004">
      <c r="A83" s="279"/>
      <c r="B83" s="356" t="s">
        <v>640</v>
      </c>
      <c r="C83" s="357"/>
      <c r="D83" s="357"/>
      <c r="E83" s="357"/>
      <c r="F83" s="357"/>
      <c r="G83" s="357"/>
      <c r="H83" s="357"/>
      <c r="I83" s="357"/>
      <c r="J83" s="357"/>
      <c r="K83" s="357"/>
      <c r="L83" s="357"/>
      <c r="M83" s="357"/>
      <c r="N83" s="357"/>
      <c r="O83" s="415"/>
      <c r="P83" s="22"/>
      <c r="Q83" s="22"/>
      <c r="R83" s="22"/>
      <c r="S83" s="22"/>
      <c r="T83" s="14"/>
      <c r="U83" s="688" t="e">
        <f t="shared" ref="U83" si="20">_xlfn.IFS($P83="Si",1,$Q83="Si",0.5,$R83="Si",0,$S83="Si","N/A")</f>
        <v>#N/A</v>
      </c>
      <c r="V83" s="688" t="e">
        <f t="shared" ref="V83" si="21">_xlfn.IFS($S83="Si",1,$R83="Si",0.5,$U129="Si",0,$V129="Si","N/A")</f>
        <v>#N/A</v>
      </c>
      <c r="W83" s="687"/>
      <c r="X83" s="687"/>
      <c r="Y83" s="687"/>
      <c r="Z83" s="687"/>
      <c r="AA83" s="687"/>
      <c r="AB83" s="1"/>
      <c r="AC83" s="246" t="e">
        <f t="shared" ref="AC83" si="22">_xlfn.IFS($P83="Si",0,$Q83="si",0,$R83="si",0,$S83="si",1)</f>
        <v>#N/A</v>
      </c>
      <c r="AD83" s="1"/>
      <c r="AE83" s="1"/>
      <c r="AF83" s="1"/>
      <c r="AG83" s="130"/>
      <c r="AH83" s="130"/>
      <c r="AI83" s="130"/>
      <c r="AJ83" s="130"/>
      <c r="AK83" s="130"/>
      <c r="AL83" s="9"/>
      <c r="AM83" s="62" t="s">
        <v>216</v>
      </c>
      <c r="AO83" s="122"/>
      <c r="AP83" s="127"/>
      <c r="AQ83" s="127"/>
      <c r="AR83" s="127"/>
      <c r="AS83" s="127"/>
      <c r="AT83" s="127"/>
      <c r="AU83" s="127"/>
      <c r="AV83" s="127"/>
      <c r="AW83" s="127"/>
      <c r="AX83" s="127"/>
      <c r="AY83" s="127"/>
      <c r="AZ83" s="127"/>
      <c r="BA83" s="127"/>
      <c r="BB83" s="127"/>
      <c r="BC83" s="127"/>
      <c r="BD83" s="127"/>
      <c r="BE83" s="127"/>
      <c r="BF83" s="127"/>
      <c r="BG83" s="127"/>
      <c r="BH83" s="127"/>
      <c r="BI83" s="127"/>
      <c r="BJ83" s="127"/>
      <c r="BK83" s="127"/>
      <c r="BL83" s="127"/>
      <c r="BM83" s="127"/>
      <c r="BN83" s="127"/>
      <c r="BO83" s="127"/>
      <c r="BP83" s="127"/>
      <c r="BQ83" s="127"/>
      <c r="BR83" s="127"/>
      <c r="BS83" s="127"/>
      <c r="BT83" s="127"/>
      <c r="BU83" s="127"/>
      <c r="BV83" s="127"/>
      <c r="BW83" s="1"/>
      <c r="BX83" s="1"/>
      <c r="BY83" s="1"/>
      <c r="BZ83" s="1"/>
      <c r="CA83" s="1"/>
      <c r="CB83" s="1"/>
      <c r="CC83" s="1"/>
      <c r="CD83" s="1"/>
      <c r="CE83" s="1"/>
    </row>
    <row r="84" spans="1:83" ht="15.75" customHeight="1" x14ac:dyDescent="0.55000000000000004">
      <c r="A84" s="649" t="s">
        <v>51</v>
      </c>
      <c r="B84" s="650"/>
      <c r="C84" s="650"/>
      <c r="D84" s="650"/>
      <c r="E84" s="650"/>
      <c r="F84" s="650"/>
      <c r="G84" s="650"/>
      <c r="H84" s="650"/>
      <c r="I84" s="650"/>
      <c r="J84" s="650"/>
      <c r="K84" s="650"/>
      <c r="L84" s="650"/>
      <c r="M84" s="650"/>
      <c r="N84" s="650"/>
      <c r="O84" s="650"/>
      <c r="P84" s="650"/>
      <c r="Q84" s="650"/>
      <c r="R84" s="650"/>
      <c r="S84" s="650"/>
      <c r="T84" s="650"/>
      <c r="U84" s="686" t="e">
        <f>SUM(U83)</f>
        <v>#N/A</v>
      </c>
      <c r="V84" s="686"/>
      <c r="W84" s="462"/>
      <c r="X84" s="462"/>
      <c r="Y84" s="462"/>
      <c r="Z84" s="462"/>
      <c r="AA84" s="463"/>
      <c r="AB84" s="1"/>
      <c r="AC84" s="249" t="e">
        <f>SUM(AC83)</f>
        <v>#N/A</v>
      </c>
      <c r="AD84" s="1"/>
      <c r="AE84" s="1"/>
      <c r="AF84" s="1"/>
      <c r="AG84" s="130"/>
      <c r="AH84" s="130"/>
      <c r="AI84" s="130"/>
      <c r="AJ84" s="130"/>
      <c r="AK84" s="130"/>
      <c r="AL84" s="9"/>
      <c r="AM84" s="62" t="s">
        <v>217</v>
      </c>
      <c r="AN84" s="122"/>
      <c r="AO84" s="122"/>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
      <c r="BX84" s="1"/>
      <c r="BY84" s="1"/>
      <c r="BZ84" s="1"/>
      <c r="CA84" s="1"/>
      <c r="CB84" s="1"/>
      <c r="CC84" s="1"/>
      <c r="CD84" s="1"/>
      <c r="CE84" s="1"/>
    </row>
    <row r="85" spans="1:83" ht="15.75" customHeight="1" x14ac:dyDescent="0.55000000000000004">
      <c r="A85" s="539"/>
      <c r="B85" s="539"/>
      <c r="C85" s="539"/>
      <c r="D85" s="539"/>
      <c r="E85" s="539"/>
      <c r="F85" s="539"/>
      <c r="G85" s="539"/>
      <c r="H85" s="539"/>
      <c r="I85" s="539"/>
      <c r="J85" s="539"/>
      <c r="K85" s="539"/>
      <c r="L85" s="539"/>
      <c r="M85" s="539"/>
      <c r="N85" s="539"/>
      <c r="O85" s="539"/>
      <c r="P85" s="539"/>
      <c r="Q85" s="539"/>
      <c r="R85" s="539"/>
      <c r="S85" s="539"/>
      <c r="T85" s="539"/>
      <c r="U85" s="539"/>
      <c r="V85" s="539"/>
      <c r="W85" s="539"/>
      <c r="X85" s="539"/>
      <c r="Y85" s="539"/>
      <c r="Z85" s="539"/>
      <c r="AA85" s="539"/>
      <c r="AB85" s="1"/>
      <c r="AC85" s="105"/>
      <c r="AD85" s="1"/>
      <c r="AE85" s="1"/>
      <c r="AF85" s="1"/>
      <c r="AG85" s="130"/>
      <c r="AH85" s="130"/>
      <c r="AI85" s="130"/>
      <c r="AJ85" s="130"/>
      <c r="AK85" s="130"/>
      <c r="AL85" s="9"/>
      <c r="AM85" s="62" t="s">
        <v>218</v>
      </c>
      <c r="AN85" s="122"/>
      <c r="AO85" s="122"/>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
      <c r="BX85" s="1"/>
      <c r="BY85" s="1"/>
      <c r="BZ85" s="1"/>
      <c r="CA85" s="1"/>
      <c r="CB85" s="1"/>
      <c r="CC85" s="1"/>
      <c r="CD85" s="1"/>
      <c r="CE85" s="1"/>
    </row>
    <row r="86" spans="1:83" ht="33" customHeight="1" x14ac:dyDescent="0.55000000000000004">
      <c r="A86" s="811" t="s">
        <v>93</v>
      </c>
      <c r="B86" s="811"/>
      <c r="C86" s="811"/>
      <c r="D86" s="811"/>
      <c r="E86" s="811"/>
      <c r="F86" s="811"/>
      <c r="G86" s="811"/>
      <c r="H86" s="811"/>
      <c r="I86" s="811"/>
      <c r="J86" s="811"/>
      <c r="K86" s="811"/>
      <c r="L86" s="811"/>
      <c r="M86" s="811"/>
      <c r="N86" s="811"/>
      <c r="O86" s="811"/>
      <c r="P86" s="27" t="s">
        <v>72</v>
      </c>
      <c r="R86" s="27" t="s">
        <v>115</v>
      </c>
      <c r="S86" s="27" t="s">
        <v>118</v>
      </c>
      <c r="T86" s="28" t="s">
        <v>55</v>
      </c>
      <c r="U86" s="210" t="s">
        <v>49</v>
      </c>
      <c r="V86" s="210"/>
      <c r="W86" s="210" t="s">
        <v>50</v>
      </c>
      <c r="X86" s="210"/>
      <c r="Y86" s="210"/>
      <c r="Z86" s="210"/>
      <c r="AA86" s="210"/>
      <c r="AC86" s="246"/>
      <c r="AE86" s="77"/>
      <c r="AF86" s="1"/>
      <c r="AH86" s="127"/>
      <c r="AI86" s="127"/>
      <c r="AJ86" s="127"/>
      <c r="AK86" s="127"/>
      <c r="AL86" s="9"/>
      <c r="AM86" s="62" t="s">
        <v>219</v>
      </c>
      <c r="AN86" s="122"/>
      <c r="AP86" s="127"/>
      <c r="AQ86" s="127"/>
      <c r="AR86" s="127"/>
      <c r="AS86" s="127"/>
      <c r="AT86" s="127"/>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127"/>
      <c r="BR86" s="127"/>
      <c r="BS86" s="127"/>
      <c r="BT86" s="127"/>
      <c r="BU86" s="127"/>
      <c r="BV86" s="127"/>
      <c r="BW86" s="1"/>
      <c r="BX86" s="1"/>
      <c r="BY86" s="1"/>
      <c r="BZ86" s="1"/>
      <c r="CA86" s="1"/>
      <c r="CB86" s="1"/>
      <c r="CC86" s="1"/>
      <c r="CD86" s="1"/>
      <c r="CE86" s="1"/>
    </row>
    <row r="87" spans="1:83" ht="32.25" customHeight="1" x14ac:dyDescent="0.55000000000000004">
      <c r="A87" s="223"/>
      <c r="B87" s="375" t="s">
        <v>143</v>
      </c>
      <c r="C87" s="375"/>
      <c r="D87" s="375"/>
      <c r="E87" s="375"/>
      <c r="F87" s="375"/>
      <c r="G87" s="375"/>
      <c r="H87" s="375"/>
      <c r="I87" s="375"/>
      <c r="J87" s="375"/>
      <c r="K87" s="375"/>
      <c r="L87" s="375"/>
      <c r="M87" s="375"/>
      <c r="N87" s="375"/>
      <c r="O87" s="375"/>
      <c r="P87" s="22"/>
      <c r="R87" s="22"/>
      <c r="S87" s="22"/>
      <c r="T87" s="14"/>
      <c r="U87" s="688" t="e">
        <f t="shared" ref="U87:U89" si="23">_xlfn.IFS($P87="Si",1,$Q87="Si",0.5,$R87="Si",0,$S87="Si","N/A")</f>
        <v>#N/A</v>
      </c>
      <c r="V87" s="688" t="e">
        <f t="shared" ref="V87:V89" si="24">_xlfn.IFS($S87="Si",1,$R87="Si",0.5,$U133="Si",0,$V133="Si","N/A")</f>
        <v>#N/A</v>
      </c>
      <c r="W87" s="648"/>
      <c r="X87" s="648"/>
      <c r="Y87" s="648"/>
      <c r="Z87" s="648"/>
      <c r="AA87" s="648"/>
      <c r="AB87" s="1"/>
      <c r="AC87" s="246" t="e">
        <f t="shared" ref="AC87:AC89" si="25">_xlfn.IFS($P87="Si",0,$Q87="si",0,$R87="si",0,$S87="si",1)</f>
        <v>#N/A</v>
      </c>
      <c r="AD87" s="1"/>
      <c r="AE87" s="1"/>
      <c r="AF87" s="1"/>
      <c r="AH87" s="127"/>
      <c r="AI87" s="127"/>
      <c r="AJ87" s="127"/>
      <c r="AK87" s="127"/>
      <c r="AL87" s="9"/>
      <c r="AM87" s="62" t="s">
        <v>220</v>
      </c>
      <c r="AN87" s="122"/>
      <c r="AO87" s="127"/>
      <c r="AP87" s="127"/>
      <c r="AQ87" s="127"/>
      <c r="AR87" s="127"/>
      <c r="AS87" s="127"/>
      <c r="AT87" s="127"/>
      <c r="AU87" s="127"/>
      <c r="AV87" s="127"/>
      <c r="AW87" s="127"/>
      <c r="AX87" s="127"/>
      <c r="AY87" s="127"/>
      <c r="AZ87" s="127"/>
      <c r="BA87" s="127"/>
      <c r="BB87" s="127"/>
      <c r="BC87" s="127"/>
      <c r="BD87" s="127"/>
      <c r="BE87" s="127"/>
      <c r="BF87" s="127"/>
      <c r="BG87" s="127"/>
      <c r="BH87" s="127"/>
      <c r="BI87" s="127"/>
      <c r="BJ87" s="127"/>
      <c r="BK87" s="127"/>
      <c r="BL87" s="127"/>
      <c r="BM87" s="127"/>
      <c r="BN87" s="127"/>
      <c r="BO87" s="127"/>
      <c r="BP87" s="127"/>
      <c r="BQ87" s="127"/>
      <c r="BR87" s="127"/>
      <c r="BS87" s="127"/>
      <c r="BT87" s="127"/>
      <c r="BU87" s="127"/>
      <c r="BV87" s="127"/>
      <c r="BW87" s="1"/>
      <c r="BX87" s="1"/>
      <c r="BY87" s="1"/>
      <c r="BZ87" s="1"/>
      <c r="CA87" s="1"/>
      <c r="CB87" s="1"/>
      <c r="CC87" s="1"/>
      <c r="CD87" s="1"/>
      <c r="CE87" s="1"/>
    </row>
    <row r="88" spans="1:83" ht="45.75" customHeight="1" x14ac:dyDescent="0.55000000000000004">
      <c r="A88" s="223"/>
      <c r="B88" s="375" t="s">
        <v>359</v>
      </c>
      <c r="C88" s="375"/>
      <c r="D88" s="375"/>
      <c r="E88" s="375"/>
      <c r="F88" s="375"/>
      <c r="G88" s="375"/>
      <c r="H88" s="375"/>
      <c r="I88" s="375"/>
      <c r="J88" s="375"/>
      <c r="K88" s="375"/>
      <c r="L88" s="375"/>
      <c r="M88" s="375"/>
      <c r="N88" s="375"/>
      <c r="O88" s="375"/>
      <c r="P88" s="22"/>
      <c r="Q88" s="22"/>
      <c r="R88" s="22"/>
      <c r="S88" s="22"/>
      <c r="T88" s="14"/>
      <c r="U88" s="688" t="e">
        <f t="shared" si="23"/>
        <v>#N/A</v>
      </c>
      <c r="V88" s="688" t="e">
        <f>_xlfn.IFS($S88="Si",1,$R88="Si",0.5,$R134="Si",0,$S134="Si","N/A")</f>
        <v>#N/A</v>
      </c>
      <c r="W88" s="648"/>
      <c r="X88" s="648"/>
      <c r="Y88" s="648"/>
      <c r="Z88" s="648"/>
      <c r="AA88" s="648"/>
      <c r="AB88" s="77"/>
      <c r="AC88" s="246" t="e">
        <f t="shared" si="25"/>
        <v>#N/A</v>
      </c>
      <c r="AD88" s="77"/>
      <c r="AE88" s="77"/>
      <c r="AF88" s="1"/>
      <c r="AG88" s="1"/>
      <c r="AH88" s="127"/>
      <c r="AI88" s="127"/>
      <c r="AJ88" s="127"/>
      <c r="AK88" s="127"/>
      <c r="AL88" s="10">
        <v>13</v>
      </c>
      <c r="AM88" s="10" t="s">
        <v>263</v>
      </c>
      <c r="AO88" s="127"/>
      <c r="AP88" s="127"/>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c r="BM88" s="127"/>
      <c r="BN88" s="127"/>
      <c r="BO88" s="127"/>
      <c r="BP88" s="127"/>
      <c r="BQ88" s="127"/>
      <c r="BR88" s="127"/>
      <c r="BS88" s="127"/>
      <c r="BT88" s="127"/>
      <c r="BU88" s="127"/>
      <c r="BV88" s="127"/>
      <c r="BW88" s="1"/>
      <c r="BX88" s="1"/>
      <c r="BY88" s="1"/>
      <c r="BZ88" s="1"/>
      <c r="CA88" s="1"/>
      <c r="CB88" s="1"/>
      <c r="CC88" s="1"/>
      <c r="CD88" s="1"/>
      <c r="CE88" s="1"/>
    </row>
    <row r="89" spans="1:83" ht="31" customHeight="1" x14ac:dyDescent="0.55000000000000004">
      <c r="A89" s="223"/>
      <c r="B89" s="375" t="s">
        <v>361</v>
      </c>
      <c r="C89" s="375"/>
      <c r="D89" s="375"/>
      <c r="E89" s="375"/>
      <c r="F89" s="375"/>
      <c r="G89" s="375"/>
      <c r="H89" s="375"/>
      <c r="I89" s="375"/>
      <c r="J89" s="375"/>
      <c r="K89" s="375"/>
      <c r="L89" s="375"/>
      <c r="M89" s="375"/>
      <c r="N89" s="375"/>
      <c r="O89" s="375"/>
      <c r="P89" s="22"/>
      <c r="Q89" s="22"/>
      <c r="R89" s="22"/>
      <c r="S89" s="22"/>
      <c r="T89" s="14"/>
      <c r="U89" s="688" t="e">
        <f t="shared" si="23"/>
        <v>#N/A</v>
      </c>
      <c r="V89" s="688" t="e">
        <f t="shared" si="24"/>
        <v>#N/A</v>
      </c>
      <c r="W89" s="648"/>
      <c r="X89" s="648"/>
      <c r="Y89" s="648"/>
      <c r="Z89" s="648"/>
      <c r="AA89" s="648"/>
      <c r="AB89" s="1"/>
      <c r="AC89" s="246" t="e">
        <f t="shared" si="25"/>
        <v>#N/A</v>
      </c>
      <c r="AD89" s="1"/>
      <c r="AE89" s="1"/>
      <c r="AF89" s="1"/>
      <c r="AG89" s="1"/>
      <c r="AH89" s="1"/>
      <c r="AI89" s="1"/>
      <c r="AJ89" s="1"/>
      <c r="AK89" s="1"/>
      <c r="AL89" s="9"/>
      <c r="AM89" s="62" t="s">
        <v>228</v>
      </c>
      <c r="BD89" s="17"/>
      <c r="BG89" s="1"/>
      <c r="BH89" s="1"/>
      <c r="BI89" s="1"/>
      <c r="BJ89" s="1"/>
      <c r="BK89" s="1"/>
      <c r="BL89" s="1"/>
      <c r="BM89" s="1"/>
      <c r="BN89" s="1"/>
      <c r="BO89" s="1"/>
      <c r="BP89" s="1"/>
      <c r="BQ89" s="1"/>
      <c r="BR89" s="1"/>
      <c r="BS89" s="1"/>
      <c r="BT89" s="1"/>
      <c r="BU89" s="1"/>
      <c r="BV89" s="1"/>
      <c r="BW89" s="1"/>
      <c r="BX89" s="1"/>
      <c r="BY89" s="1"/>
      <c r="BZ89" s="1"/>
      <c r="CA89" s="1"/>
      <c r="CB89" s="1"/>
      <c r="CC89" s="1"/>
      <c r="CD89" s="1"/>
      <c r="CE89" s="1"/>
    </row>
    <row r="90" spans="1:83" ht="15.75" customHeight="1" x14ac:dyDescent="0.55000000000000004">
      <c r="A90" s="684" t="s">
        <v>51</v>
      </c>
      <c r="B90" s="684"/>
      <c r="C90" s="684"/>
      <c r="D90" s="684"/>
      <c r="E90" s="684"/>
      <c r="F90" s="684"/>
      <c r="G90" s="684"/>
      <c r="H90" s="684"/>
      <c r="I90" s="684"/>
      <c r="J90" s="684"/>
      <c r="K90" s="684"/>
      <c r="L90" s="684"/>
      <c r="M90" s="684"/>
      <c r="N90" s="684"/>
      <c r="O90" s="684"/>
      <c r="P90" s="684"/>
      <c r="Q90" s="684"/>
      <c r="R90" s="684"/>
      <c r="S90" s="684"/>
      <c r="T90" s="684"/>
      <c r="U90" s="685" t="e">
        <f>SUM(U87:U89)</f>
        <v>#N/A</v>
      </c>
      <c r="V90" s="685"/>
      <c r="W90" s="709"/>
      <c r="X90" s="709"/>
      <c r="Y90" s="709"/>
      <c r="Z90" s="709"/>
      <c r="AA90" s="709"/>
      <c r="AB90" s="1"/>
      <c r="AC90" s="104" t="e">
        <f>SUM(AC87:AC89)</f>
        <v>#N/A</v>
      </c>
      <c r="AD90" s="1"/>
      <c r="AE90" s="1"/>
      <c r="AF90" s="1"/>
      <c r="AG90" s="1"/>
      <c r="AH90" s="1"/>
      <c r="AI90" s="1"/>
      <c r="AJ90" s="1"/>
      <c r="AK90" s="1"/>
      <c r="AL90" s="9"/>
      <c r="AM90" s="62" t="s">
        <v>229</v>
      </c>
      <c r="BD90" s="17"/>
      <c r="BG90" s="1"/>
      <c r="BH90" s="1"/>
      <c r="BI90" s="1"/>
      <c r="BJ90" s="1"/>
      <c r="BK90" s="1"/>
      <c r="BL90" s="1"/>
      <c r="BM90" s="1"/>
      <c r="BN90" s="1"/>
      <c r="BO90" s="1"/>
      <c r="BP90" s="1"/>
      <c r="BQ90" s="1"/>
      <c r="BR90" s="1"/>
      <c r="BS90" s="1"/>
      <c r="BT90" s="1"/>
      <c r="BU90" s="1"/>
      <c r="BV90" s="1"/>
      <c r="BW90" s="1"/>
      <c r="BX90" s="1"/>
      <c r="BY90" s="1"/>
      <c r="BZ90" s="1"/>
      <c r="CA90" s="1"/>
      <c r="CB90" s="1"/>
      <c r="CC90" s="1"/>
      <c r="CD90" s="1"/>
      <c r="CE90" s="1"/>
    </row>
    <row r="91" spans="1:83" ht="15.75" customHeight="1" x14ac:dyDescent="0.55000000000000004">
      <c r="A91" s="539"/>
      <c r="B91" s="539"/>
      <c r="C91" s="539"/>
      <c r="D91" s="539"/>
      <c r="E91" s="539"/>
      <c r="F91" s="539"/>
      <c r="G91" s="539"/>
      <c r="H91" s="539"/>
      <c r="I91" s="539"/>
      <c r="J91" s="539"/>
      <c r="K91" s="539"/>
      <c r="L91" s="539"/>
      <c r="M91" s="539"/>
      <c r="N91" s="539"/>
      <c r="O91" s="539"/>
      <c r="P91" s="539"/>
      <c r="Q91" s="539"/>
      <c r="R91" s="539"/>
      <c r="S91" s="539"/>
      <c r="T91" s="539"/>
      <c r="U91" s="539"/>
      <c r="V91" s="539"/>
      <c r="W91" s="539"/>
      <c r="X91" s="539"/>
      <c r="Y91" s="539"/>
      <c r="Z91" s="539"/>
      <c r="AA91" s="539"/>
      <c r="AB91" s="1"/>
      <c r="AC91" s="104"/>
      <c r="AD91" s="1"/>
      <c r="AE91" s="1"/>
      <c r="AF91" s="1"/>
      <c r="AG91" s="1"/>
      <c r="AH91" s="1"/>
      <c r="AI91" s="1"/>
      <c r="AJ91" s="1"/>
      <c r="AK91" s="1"/>
      <c r="AL91" s="9"/>
      <c r="AM91" s="62" t="s">
        <v>230</v>
      </c>
      <c r="BG91" s="1"/>
      <c r="BH91" s="1"/>
      <c r="BI91" s="1"/>
      <c r="BJ91" s="1"/>
      <c r="BK91" s="1"/>
      <c r="BL91" s="1"/>
      <c r="BM91" s="1"/>
      <c r="BN91" s="1"/>
      <c r="BO91" s="1"/>
      <c r="BP91" s="1"/>
      <c r="BQ91" s="1"/>
      <c r="BR91" s="1"/>
      <c r="BS91" s="1"/>
      <c r="BT91" s="1"/>
      <c r="BU91" s="1"/>
      <c r="BV91" s="1"/>
      <c r="BW91" s="1"/>
      <c r="BX91" s="1"/>
      <c r="BY91" s="1"/>
      <c r="BZ91" s="1"/>
      <c r="CA91" s="1"/>
      <c r="CB91" s="1"/>
      <c r="CC91" s="1"/>
      <c r="CD91" s="1"/>
      <c r="CE91" s="1"/>
    </row>
    <row r="92" spans="1:83" ht="15.75" customHeight="1" x14ac:dyDescent="0.55000000000000004">
      <c r="A92" s="347" t="s">
        <v>94</v>
      </c>
      <c r="B92" s="348"/>
      <c r="C92" s="348"/>
      <c r="D92" s="348"/>
      <c r="E92" s="348"/>
      <c r="F92" s="348"/>
      <c r="G92" s="348"/>
      <c r="H92" s="348"/>
      <c r="I92" s="348"/>
      <c r="J92" s="348"/>
      <c r="K92" s="348"/>
      <c r="L92" s="348"/>
      <c r="M92" s="348"/>
      <c r="N92" s="348"/>
      <c r="O92" s="349"/>
      <c r="P92" s="128" t="s">
        <v>72</v>
      </c>
      <c r="R92" s="128" t="s">
        <v>115</v>
      </c>
      <c r="S92" s="128" t="s">
        <v>118</v>
      </c>
      <c r="T92" s="129" t="s">
        <v>55</v>
      </c>
      <c r="U92" s="218" t="s">
        <v>49</v>
      </c>
      <c r="V92" s="215"/>
      <c r="W92" s="217" t="s">
        <v>50</v>
      </c>
      <c r="X92" s="217"/>
      <c r="Y92" s="217"/>
      <c r="Z92" s="217"/>
      <c r="AA92" s="217"/>
      <c r="AC92" s="246"/>
      <c r="AE92" s="77"/>
      <c r="AF92" s="1"/>
      <c r="AG92" s="1"/>
      <c r="AH92" s="1"/>
      <c r="AI92" s="1"/>
      <c r="AJ92" s="1"/>
      <c r="AK92" s="1"/>
      <c r="AL92" s="9"/>
      <c r="AM92" s="62" t="s">
        <v>231</v>
      </c>
      <c r="BD92" s="17"/>
      <c r="BG92" s="1"/>
      <c r="BH92" s="1"/>
      <c r="BI92" s="1"/>
      <c r="BJ92" s="1"/>
      <c r="BK92" s="1"/>
      <c r="BL92" s="1"/>
      <c r="BM92" s="1"/>
      <c r="BN92" s="1"/>
      <c r="BO92" s="1"/>
      <c r="BP92" s="1"/>
      <c r="BQ92" s="1"/>
      <c r="BR92" s="1"/>
      <c r="BS92" s="1"/>
      <c r="BT92" s="1"/>
      <c r="BU92" s="1"/>
      <c r="BV92" s="1"/>
      <c r="BW92" s="1"/>
      <c r="BX92" s="1"/>
      <c r="BY92" s="1"/>
      <c r="BZ92" s="1"/>
      <c r="CA92" s="1"/>
      <c r="CB92" s="1"/>
      <c r="CC92" s="1"/>
      <c r="CD92" s="1"/>
      <c r="CE92" s="1"/>
    </row>
    <row r="93" spans="1:83" ht="96" customHeight="1" x14ac:dyDescent="0.55000000000000004">
      <c r="A93" s="224"/>
      <c r="B93" s="375" t="s">
        <v>367</v>
      </c>
      <c r="C93" s="375"/>
      <c r="D93" s="375"/>
      <c r="E93" s="375"/>
      <c r="F93" s="375"/>
      <c r="G93" s="375"/>
      <c r="H93" s="375"/>
      <c r="I93" s="375"/>
      <c r="J93" s="375"/>
      <c r="K93" s="375"/>
      <c r="L93" s="375"/>
      <c r="M93" s="375"/>
      <c r="N93" s="375"/>
      <c r="O93" s="375"/>
      <c r="P93" s="22"/>
      <c r="R93" s="22"/>
      <c r="S93" s="22"/>
      <c r="T93" s="14"/>
      <c r="U93" s="688" t="e">
        <f t="shared" ref="U93:U94" si="26">_xlfn.IFS($P93="Si",1,$Q93="Si",0.5,$R93="Si",0,$S93="Si","N/A")</f>
        <v>#N/A</v>
      </c>
      <c r="V93" s="688" t="e">
        <f t="shared" ref="V93:V94" si="27">_xlfn.IFS($S93="Si",1,$R93="Si",0.5,$U139="Si",0,$V139="Si","N/A")</f>
        <v>#N/A</v>
      </c>
      <c r="W93" s="812"/>
      <c r="X93" s="812"/>
      <c r="Y93" s="812"/>
      <c r="Z93" s="812"/>
      <c r="AA93" s="812"/>
      <c r="AB93" s="1"/>
      <c r="AC93" s="246" t="e">
        <f t="shared" ref="AC93:AC94" si="28">_xlfn.IFS($P93="Si",0,$Q93="si",0,$R93="si",0,$S93="si",1)</f>
        <v>#N/A</v>
      </c>
      <c r="AD93" s="1"/>
      <c r="AE93" s="1"/>
      <c r="AF93" s="1"/>
      <c r="AH93" s="1"/>
      <c r="AI93" s="1"/>
      <c r="AJ93" s="1"/>
      <c r="AL93" s="9"/>
      <c r="AM93" s="62" t="s">
        <v>232</v>
      </c>
      <c r="BD93" s="17"/>
      <c r="BG93" s="1"/>
      <c r="BH93" s="1"/>
      <c r="BI93" s="1"/>
      <c r="BJ93" s="1"/>
      <c r="BK93" s="1"/>
      <c r="BL93" s="1"/>
      <c r="BM93" s="1"/>
      <c r="BN93" s="1"/>
      <c r="BO93" s="1"/>
      <c r="BP93" s="1"/>
      <c r="BQ93" s="1"/>
      <c r="BR93" s="1"/>
      <c r="BS93" s="1"/>
      <c r="BT93" s="1"/>
      <c r="BU93" s="1"/>
      <c r="BV93" s="1"/>
      <c r="BW93" s="1"/>
      <c r="BX93" s="1"/>
      <c r="BY93" s="1"/>
      <c r="BZ93" s="1"/>
      <c r="CA93" s="1"/>
      <c r="CB93" s="1"/>
      <c r="CC93" s="1"/>
      <c r="CD93" s="1"/>
      <c r="CE93" s="1"/>
    </row>
    <row r="94" spans="1:83" ht="79.5" customHeight="1" x14ac:dyDescent="0.55000000000000004">
      <c r="A94" s="224"/>
      <c r="B94" s="375" t="s">
        <v>368</v>
      </c>
      <c r="C94" s="375"/>
      <c r="D94" s="375"/>
      <c r="E94" s="375"/>
      <c r="F94" s="375"/>
      <c r="G94" s="375"/>
      <c r="H94" s="375"/>
      <c r="I94" s="375"/>
      <c r="J94" s="375"/>
      <c r="K94" s="375"/>
      <c r="L94" s="375"/>
      <c r="M94" s="375"/>
      <c r="N94" s="375"/>
      <c r="O94" s="375"/>
      <c r="P94" s="22"/>
      <c r="Q94" s="22"/>
      <c r="R94" s="22"/>
      <c r="S94" s="22"/>
      <c r="T94" s="14"/>
      <c r="U94" s="688" t="e">
        <f t="shared" si="26"/>
        <v>#N/A</v>
      </c>
      <c r="V94" s="688" t="e">
        <f t="shared" si="27"/>
        <v>#N/A</v>
      </c>
      <c r="W94" s="812"/>
      <c r="X94" s="812"/>
      <c r="Y94" s="812"/>
      <c r="Z94" s="812"/>
      <c r="AA94" s="812"/>
      <c r="AB94" s="1"/>
      <c r="AC94" s="246" t="e">
        <f t="shared" si="28"/>
        <v>#N/A</v>
      </c>
      <c r="AD94" s="1"/>
      <c r="AE94" s="1"/>
      <c r="AF94" s="1"/>
      <c r="AH94" s="1"/>
      <c r="AI94" s="1"/>
      <c r="AJ94" s="1"/>
      <c r="AL94" s="17"/>
      <c r="AM94" s="62" t="s">
        <v>233</v>
      </c>
      <c r="BD94" s="17"/>
      <c r="BG94" s="1"/>
      <c r="BH94" s="1"/>
      <c r="BI94" s="1"/>
      <c r="BJ94" s="1"/>
      <c r="BK94" s="1"/>
      <c r="BL94" s="1"/>
      <c r="BM94" s="1"/>
      <c r="BN94" s="1"/>
      <c r="BO94" s="1"/>
      <c r="BP94" s="1"/>
      <c r="BQ94" s="1"/>
      <c r="BR94" s="1"/>
      <c r="BS94" s="1"/>
      <c r="BT94" s="1"/>
      <c r="BU94" s="1"/>
      <c r="BV94" s="1"/>
      <c r="BW94" s="1"/>
      <c r="BX94" s="1"/>
      <c r="BY94" s="1"/>
      <c r="BZ94" s="1"/>
      <c r="CA94" s="1"/>
      <c r="CB94" s="1"/>
      <c r="CC94" s="1"/>
      <c r="CD94" s="1"/>
      <c r="CE94" s="1"/>
    </row>
    <row r="95" spans="1:83" ht="15.75" customHeight="1" x14ac:dyDescent="0.55000000000000004">
      <c r="A95" s="684" t="s">
        <v>51</v>
      </c>
      <c r="B95" s="684"/>
      <c r="C95" s="684"/>
      <c r="D95" s="684"/>
      <c r="E95" s="684"/>
      <c r="F95" s="684"/>
      <c r="G95" s="684"/>
      <c r="H95" s="684"/>
      <c r="I95" s="684"/>
      <c r="J95" s="684"/>
      <c r="K95" s="684"/>
      <c r="L95" s="684"/>
      <c r="M95" s="684"/>
      <c r="N95" s="684"/>
      <c r="O95" s="684"/>
      <c r="P95" s="684"/>
      <c r="Q95" s="684"/>
      <c r="R95" s="684"/>
      <c r="S95" s="684"/>
      <c r="T95" s="684"/>
      <c r="U95" s="685" t="e">
        <f>SUM(U93:U94)</f>
        <v>#N/A</v>
      </c>
      <c r="V95" s="685"/>
      <c r="W95" s="709"/>
      <c r="X95" s="709"/>
      <c r="Y95" s="709"/>
      <c r="Z95" s="709"/>
      <c r="AA95" s="709"/>
      <c r="AB95" s="1"/>
      <c r="AC95" s="105" t="e">
        <f>SUM(AC93:AC94)</f>
        <v>#N/A</v>
      </c>
      <c r="AD95" s="1"/>
      <c r="AE95" s="1"/>
      <c r="AF95" s="1"/>
      <c r="AH95" s="1"/>
      <c r="AI95" s="1"/>
      <c r="AJ95" s="1"/>
      <c r="AL95" s="10">
        <v>14</v>
      </c>
      <c r="AM95" s="10" t="s">
        <v>264</v>
      </c>
      <c r="BD95" s="17"/>
      <c r="BG95" s="1"/>
      <c r="BH95" s="1"/>
      <c r="BI95" s="1"/>
      <c r="BJ95" s="1"/>
      <c r="BK95" s="1"/>
      <c r="BL95" s="1"/>
      <c r="BM95" s="1"/>
      <c r="BN95" s="1"/>
      <c r="BO95" s="1"/>
      <c r="BP95" s="1"/>
      <c r="BQ95" s="1"/>
      <c r="BR95" s="1"/>
      <c r="BS95" s="1"/>
      <c r="BT95" s="1"/>
      <c r="BU95" s="1"/>
      <c r="BV95" s="1"/>
      <c r="BW95" s="1"/>
      <c r="BX95" s="1"/>
      <c r="BY95" s="1"/>
      <c r="BZ95" s="1"/>
      <c r="CA95" s="1"/>
      <c r="CB95" s="1"/>
      <c r="CC95" s="1"/>
      <c r="CD95" s="1"/>
      <c r="CE95" s="1"/>
    </row>
    <row r="96" spans="1:83" ht="15.75" customHeight="1" x14ac:dyDescent="0.55000000000000004">
      <c r="A96" s="484"/>
      <c r="B96" s="484"/>
      <c r="C96" s="484"/>
      <c r="D96" s="484"/>
      <c r="E96" s="484"/>
      <c r="F96" s="484"/>
      <c r="G96" s="484"/>
      <c r="H96" s="484"/>
      <c r="I96" s="484"/>
      <c r="J96" s="484"/>
      <c r="K96" s="484"/>
      <c r="L96" s="484"/>
      <c r="M96" s="484"/>
      <c r="N96" s="484"/>
      <c r="O96" s="484"/>
      <c r="P96" s="484"/>
      <c r="Q96" s="484"/>
      <c r="R96" s="484"/>
      <c r="S96" s="484"/>
      <c r="T96" s="484"/>
      <c r="U96" s="484"/>
      <c r="V96" s="484"/>
      <c r="W96" s="484"/>
      <c r="X96" s="484"/>
      <c r="Y96" s="484"/>
      <c r="Z96" s="484"/>
      <c r="AA96" s="484"/>
      <c r="AC96" s="105"/>
      <c r="AF96" s="1"/>
      <c r="AH96" s="1"/>
      <c r="AI96" s="1"/>
      <c r="AJ96" s="1"/>
      <c r="AL96" s="17"/>
      <c r="AM96" s="62" t="s">
        <v>234</v>
      </c>
      <c r="BD96" s="17"/>
      <c r="BG96" s="1"/>
      <c r="BH96" s="1"/>
      <c r="BI96" s="1"/>
      <c r="BJ96" s="1"/>
      <c r="BK96" s="1"/>
      <c r="BL96" s="1"/>
      <c r="BM96" s="1"/>
      <c r="BN96" s="1"/>
      <c r="BO96" s="1"/>
      <c r="BP96" s="1"/>
      <c r="BQ96" s="1"/>
      <c r="BR96" s="1"/>
      <c r="BS96" s="1"/>
      <c r="BT96" s="1"/>
      <c r="BU96" s="1"/>
      <c r="BV96" s="1"/>
      <c r="BW96" s="1"/>
      <c r="BX96" s="1"/>
      <c r="BY96" s="1"/>
      <c r="BZ96" s="1"/>
      <c r="CA96" s="1"/>
      <c r="CB96" s="1"/>
      <c r="CC96" s="1"/>
      <c r="CD96" s="1"/>
      <c r="CE96" s="1"/>
    </row>
    <row r="97" spans="1:83" ht="15.75" customHeight="1" x14ac:dyDescent="0.55000000000000004">
      <c r="A97" s="585" t="s">
        <v>95</v>
      </c>
      <c r="B97" s="585"/>
      <c r="C97" s="585"/>
      <c r="D97" s="585"/>
      <c r="E97" s="585"/>
      <c r="F97" s="585"/>
      <c r="G97" s="585"/>
      <c r="H97" s="585"/>
      <c r="I97" s="585"/>
      <c r="J97" s="585"/>
      <c r="K97" s="585"/>
      <c r="L97" s="585"/>
      <c r="M97" s="585"/>
      <c r="N97" s="585"/>
      <c r="O97" s="585"/>
      <c r="P97" s="19" t="s">
        <v>72</v>
      </c>
      <c r="Q97" s="19" t="s">
        <v>88</v>
      </c>
      <c r="R97" s="19" t="s">
        <v>115</v>
      </c>
      <c r="S97" s="19" t="s">
        <v>118</v>
      </c>
      <c r="T97" s="20" t="s">
        <v>55</v>
      </c>
      <c r="U97" s="210" t="s">
        <v>49</v>
      </c>
      <c r="V97" s="210"/>
      <c r="W97" s="210" t="s">
        <v>50</v>
      </c>
      <c r="X97" s="210"/>
      <c r="Y97" s="210"/>
      <c r="Z97" s="210"/>
      <c r="AA97" s="210"/>
      <c r="AC97" s="246"/>
      <c r="AE97" s="77"/>
      <c r="AF97" s="1"/>
      <c r="AH97" s="1"/>
      <c r="AI97" s="1"/>
      <c r="AJ97" s="1"/>
      <c r="AL97" s="17"/>
      <c r="AM97" s="62" t="s">
        <v>235</v>
      </c>
      <c r="BD97" s="17"/>
      <c r="BG97" s="1"/>
      <c r="BH97" s="1"/>
      <c r="BI97" s="1"/>
      <c r="BJ97" s="1"/>
      <c r="BK97" s="1"/>
      <c r="BL97" s="1"/>
      <c r="BM97" s="1"/>
      <c r="BN97" s="1"/>
      <c r="BO97" s="1"/>
      <c r="BP97" s="1"/>
      <c r="BQ97" s="1"/>
      <c r="BR97" s="1"/>
      <c r="BS97" s="1"/>
      <c r="BT97" s="1"/>
      <c r="BU97" s="1"/>
      <c r="BV97" s="1"/>
      <c r="BW97" s="1"/>
      <c r="BX97" s="1"/>
      <c r="BY97" s="1"/>
      <c r="BZ97" s="1"/>
      <c r="CA97" s="1"/>
      <c r="CB97" s="1"/>
      <c r="CC97" s="1"/>
      <c r="CD97" s="1"/>
      <c r="CE97" s="1"/>
    </row>
    <row r="98" spans="1:83" ht="93.75" customHeight="1" x14ac:dyDescent="0.55000000000000004">
      <c r="A98" s="186"/>
      <c r="B98" s="375" t="s">
        <v>380</v>
      </c>
      <c r="C98" s="375"/>
      <c r="D98" s="375"/>
      <c r="E98" s="375"/>
      <c r="F98" s="375"/>
      <c r="G98" s="375"/>
      <c r="H98" s="375"/>
      <c r="I98" s="375"/>
      <c r="J98" s="375"/>
      <c r="K98" s="375"/>
      <c r="L98" s="375"/>
      <c r="M98" s="375"/>
      <c r="N98" s="375"/>
      <c r="O98" s="375"/>
      <c r="P98" s="22"/>
      <c r="Q98" s="22"/>
      <c r="R98" s="22"/>
      <c r="S98" s="22"/>
      <c r="T98" s="14"/>
      <c r="U98" s="688" t="e">
        <f t="shared" ref="U98" si="29">_xlfn.IFS($P98="Si",1,$Q98="Si",0.5,$R98="Si",0,$S98="Si","N/A")</f>
        <v>#N/A</v>
      </c>
      <c r="V98" s="688" t="e">
        <f t="shared" ref="V98" si="30">_xlfn.IFS($S98="Si",1,$R98="Si",0.5,$U144="Si",0,$V144="Si","N/A")</f>
        <v>#N/A</v>
      </c>
      <c r="W98" s="808"/>
      <c r="X98" s="809"/>
      <c r="Y98" s="809"/>
      <c r="Z98" s="809"/>
      <c r="AA98" s="810"/>
      <c r="AB98" s="1"/>
      <c r="AC98" s="246" t="e">
        <f t="shared" ref="AC98" si="31">_xlfn.IFS($P98="Si",0,$Q98="si",0,$R98="si",0,$S98="si",1)</f>
        <v>#N/A</v>
      </c>
      <c r="AD98" s="1"/>
      <c r="AE98" s="1"/>
      <c r="AF98" s="1"/>
      <c r="AH98" s="1"/>
      <c r="AI98" s="1"/>
      <c r="AJ98" s="1"/>
      <c r="AL98" s="17"/>
      <c r="AM98" s="62" t="s">
        <v>236</v>
      </c>
      <c r="BD98" s="17"/>
      <c r="BG98" s="1"/>
      <c r="BH98" s="1"/>
      <c r="BI98" s="1"/>
      <c r="BJ98" s="1"/>
      <c r="BK98" s="1"/>
      <c r="BL98" s="1"/>
      <c r="BM98" s="1"/>
      <c r="BN98" s="1"/>
      <c r="BO98" s="1"/>
      <c r="BP98" s="1"/>
      <c r="BQ98" s="1"/>
      <c r="BR98" s="1"/>
      <c r="BS98" s="1"/>
      <c r="BT98" s="1"/>
      <c r="BU98" s="1"/>
      <c r="BV98" s="1"/>
      <c r="BW98" s="1"/>
      <c r="BX98" s="1"/>
      <c r="BY98" s="1"/>
      <c r="BZ98" s="1"/>
      <c r="CA98" s="1"/>
      <c r="CB98" s="1"/>
      <c r="CC98" s="1"/>
      <c r="CD98" s="1"/>
      <c r="CE98" s="1"/>
    </row>
    <row r="99" spans="1:83" ht="15.75" customHeight="1" x14ac:dyDescent="0.55000000000000004">
      <c r="A99" s="787" t="s">
        <v>51</v>
      </c>
      <c r="B99" s="788"/>
      <c r="C99" s="788"/>
      <c r="D99" s="788"/>
      <c r="E99" s="788"/>
      <c r="F99" s="788"/>
      <c r="G99" s="788"/>
      <c r="H99" s="788"/>
      <c r="I99" s="788"/>
      <c r="J99" s="788"/>
      <c r="K99" s="788"/>
      <c r="L99" s="788"/>
      <c r="M99" s="788"/>
      <c r="N99" s="788"/>
      <c r="O99" s="788"/>
      <c r="P99" s="788"/>
      <c r="Q99" s="788"/>
      <c r="R99" s="788"/>
      <c r="S99" s="788"/>
      <c r="T99" s="789"/>
      <c r="U99" s="685" t="e">
        <f>SUM(U98)</f>
        <v>#N/A</v>
      </c>
      <c r="V99" s="685"/>
      <c r="W99" s="709"/>
      <c r="X99" s="709"/>
      <c r="Y99" s="709"/>
      <c r="Z99" s="709"/>
      <c r="AA99" s="709"/>
      <c r="AB99" s="1"/>
      <c r="AC99" s="105" t="e">
        <f>SUM(AC98)</f>
        <v>#N/A</v>
      </c>
      <c r="AD99" s="1"/>
      <c r="AE99" s="1"/>
      <c r="AF99" s="1"/>
      <c r="AH99" s="1"/>
      <c r="AI99" s="1"/>
      <c r="AJ99" s="1"/>
      <c r="AL99" s="17"/>
      <c r="AM99" s="62" t="s">
        <v>237</v>
      </c>
      <c r="BD99" s="17"/>
      <c r="BG99" s="1"/>
      <c r="BH99" s="1"/>
      <c r="BI99" s="1"/>
      <c r="BJ99" s="1"/>
      <c r="BK99" s="1"/>
      <c r="BL99" s="1"/>
      <c r="BM99" s="1"/>
      <c r="BN99" s="1"/>
      <c r="BO99" s="1"/>
      <c r="BP99" s="1"/>
      <c r="BQ99" s="1"/>
      <c r="BR99" s="1"/>
      <c r="BS99" s="1"/>
      <c r="BT99" s="1"/>
      <c r="BU99" s="1"/>
      <c r="BV99" s="1"/>
      <c r="BW99" s="1"/>
      <c r="BX99" s="1"/>
      <c r="BY99" s="1"/>
      <c r="BZ99" s="1"/>
      <c r="CA99" s="1"/>
      <c r="CB99" s="1"/>
      <c r="CC99" s="1"/>
      <c r="CD99" s="1"/>
      <c r="CE99" s="1"/>
    </row>
    <row r="100" spans="1:83" ht="15.75" customHeight="1" x14ac:dyDescent="0.55000000000000004">
      <c r="A100" s="216"/>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76"/>
      <c r="AC100" s="105"/>
      <c r="AF100" s="1"/>
      <c r="AH100" s="1"/>
      <c r="AI100" s="1"/>
      <c r="AJ100" s="1"/>
      <c r="AL100" s="17"/>
      <c r="AM100" s="62" t="s">
        <v>238</v>
      </c>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row>
    <row r="101" spans="1:83" ht="15.75" customHeight="1" x14ac:dyDescent="0.55000000000000004">
      <c r="A101" s="585" t="s">
        <v>96</v>
      </c>
      <c r="B101" s="585"/>
      <c r="C101" s="585"/>
      <c r="D101" s="585"/>
      <c r="E101" s="585"/>
      <c r="F101" s="585"/>
      <c r="G101" s="585"/>
      <c r="H101" s="585"/>
      <c r="I101" s="585"/>
      <c r="J101" s="585"/>
      <c r="K101" s="585"/>
      <c r="L101" s="585"/>
      <c r="M101" s="585"/>
      <c r="N101" s="585"/>
      <c r="O101" s="585"/>
      <c r="P101" s="219" t="s">
        <v>72</v>
      </c>
      <c r="Q101" s="219" t="s">
        <v>88</v>
      </c>
      <c r="R101" s="219" t="s">
        <v>115</v>
      </c>
      <c r="S101" s="219" t="s">
        <v>118</v>
      </c>
      <c r="T101" s="220" t="s">
        <v>55</v>
      </c>
      <c r="U101" s="212" t="s">
        <v>49</v>
      </c>
      <c r="V101" s="221"/>
      <c r="W101" s="211" t="s">
        <v>50</v>
      </c>
      <c r="X101" s="230"/>
      <c r="Y101" s="230"/>
      <c r="Z101" s="230"/>
      <c r="AA101" s="230"/>
      <c r="AC101" s="246"/>
      <c r="AE101" s="77"/>
      <c r="AF101" s="1"/>
      <c r="AH101" s="1"/>
      <c r="AJ101" s="1"/>
      <c r="AL101" s="17"/>
      <c r="AM101" s="62" t="s">
        <v>239</v>
      </c>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row>
    <row r="102" spans="1:83" ht="49.5" customHeight="1" x14ac:dyDescent="0.55000000000000004">
      <c r="A102" s="186"/>
      <c r="B102" s="375" t="s">
        <v>534</v>
      </c>
      <c r="C102" s="375"/>
      <c r="D102" s="375"/>
      <c r="E102" s="375"/>
      <c r="F102" s="375"/>
      <c r="G102" s="375"/>
      <c r="H102" s="375"/>
      <c r="I102" s="375"/>
      <c r="J102" s="375"/>
      <c r="K102" s="375"/>
      <c r="L102" s="375"/>
      <c r="M102" s="375"/>
      <c r="N102" s="375"/>
      <c r="O102" s="375"/>
      <c r="P102" s="22"/>
      <c r="Q102" s="22"/>
      <c r="R102" s="22"/>
      <c r="S102" s="22"/>
      <c r="T102" s="14"/>
      <c r="U102" s="688" t="e">
        <f t="shared" ref="U102:U104" si="32">_xlfn.IFS($P102="Si",1,$Q102="Si",0.5,$R102="Si",0,$S102="Si","N/A")</f>
        <v>#N/A</v>
      </c>
      <c r="V102" s="688" t="e">
        <f t="shared" ref="V102:V104" si="33">_xlfn.IFS($S102="Si",1,$R102="Si",0.5,$U148="Si",0,$V148="Si","N/A")</f>
        <v>#N/A</v>
      </c>
      <c r="W102" s="470"/>
      <c r="X102" s="470"/>
      <c r="Y102" s="470"/>
      <c r="Z102" s="470"/>
      <c r="AA102" s="470"/>
      <c r="AB102" s="1"/>
      <c r="AC102" s="246" t="e">
        <f t="shared" ref="AC102:AC104" si="34">_xlfn.IFS($P102="Si",0,$Q102="si",0,$R102="si",0,$S102="si",1)</f>
        <v>#N/A</v>
      </c>
      <c r="AD102" s="1"/>
      <c r="AE102" s="1"/>
      <c r="AF102" s="1"/>
      <c r="AH102" s="1"/>
      <c r="AI102" s="1"/>
      <c r="AJ102" s="1"/>
      <c r="AL102" s="17"/>
      <c r="AM102" s="62" t="s">
        <v>240</v>
      </c>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row>
    <row r="103" spans="1:83" ht="29.25" customHeight="1" x14ac:dyDescent="0.55000000000000004">
      <c r="A103" s="186"/>
      <c r="B103" s="813" t="s">
        <v>133</v>
      </c>
      <c r="C103" s="813"/>
      <c r="D103" s="813"/>
      <c r="E103" s="813"/>
      <c r="F103" s="813"/>
      <c r="G103" s="813"/>
      <c r="H103" s="813"/>
      <c r="I103" s="813"/>
      <c r="J103" s="813"/>
      <c r="K103" s="813"/>
      <c r="L103" s="813"/>
      <c r="M103" s="813"/>
      <c r="N103" s="813"/>
      <c r="O103" s="813"/>
      <c r="P103" s="22"/>
      <c r="Q103" s="22"/>
      <c r="R103" s="22"/>
      <c r="S103" s="22"/>
      <c r="T103" s="14"/>
      <c r="U103" s="688" t="e">
        <f t="shared" si="32"/>
        <v>#N/A</v>
      </c>
      <c r="V103" s="688" t="e">
        <f t="shared" si="33"/>
        <v>#N/A</v>
      </c>
      <c r="W103" s="470"/>
      <c r="X103" s="470"/>
      <c r="Y103" s="470"/>
      <c r="Z103" s="470"/>
      <c r="AA103" s="470"/>
      <c r="AB103" s="1"/>
      <c r="AC103" s="246" t="e">
        <f t="shared" si="34"/>
        <v>#N/A</v>
      </c>
      <c r="AD103" s="1"/>
      <c r="AE103" s="1"/>
      <c r="AF103" s="1"/>
      <c r="AH103" s="1"/>
      <c r="AI103" s="1"/>
      <c r="AJ103" s="1"/>
      <c r="AL103" s="17"/>
      <c r="AM103" s="62" t="s">
        <v>241</v>
      </c>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row>
    <row r="104" spans="1:83" ht="61.5" customHeight="1" x14ac:dyDescent="0.55000000000000004">
      <c r="A104" s="186"/>
      <c r="B104" s="375" t="s">
        <v>142</v>
      </c>
      <c r="C104" s="375"/>
      <c r="D104" s="375"/>
      <c r="E104" s="375"/>
      <c r="F104" s="375"/>
      <c r="G104" s="375"/>
      <c r="H104" s="375"/>
      <c r="I104" s="375"/>
      <c r="J104" s="375"/>
      <c r="K104" s="375"/>
      <c r="L104" s="375"/>
      <c r="M104" s="375"/>
      <c r="N104" s="375"/>
      <c r="O104" s="375"/>
      <c r="P104" s="22"/>
      <c r="Q104" s="22"/>
      <c r="R104" s="22"/>
      <c r="S104" s="22"/>
      <c r="T104" s="14"/>
      <c r="U104" s="688" t="e">
        <f t="shared" si="32"/>
        <v>#N/A</v>
      </c>
      <c r="V104" s="688" t="e">
        <f t="shared" si="33"/>
        <v>#N/A</v>
      </c>
      <c r="W104" s="470"/>
      <c r="X104" s="470"/>
      <c r="Y104" s="470"/>
      <c r="Z104" s="470"/>
      <c r="AA104" s="470"/>
      <c r="AB104" s="1"/>
      <c r="AC104" s="246" t="e">
        <f t="shared" si="34"/>
        <v>#N/A</v>
      </c>
      <c r="AD104" s="1"/>
      <c r="AE104" s="1"/>
      <c r="AF104" s="1"/>
      <c r="AH104" s="1"/>
      <c r="AI104" s="1"/>
      <c r="AJ104" s="1"/>
      <c r="AL104" s="17"/>
      <c r="AM104" s="62" t="s">
        <v>242</v>
      </c>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row>
    <row r="105" spans="1:83" ht="15.75" customHeight="1" x14ac:dyDescent="0.55000000000000004">
      <c r="A105" s="684" t="s">
        <v>51</v>
      </c>
      <c r="B105" s="684"/>
      <c r="C105" s="684"/>
      <c r="D105" s="684"/>
      <c r="E105" s="684"/>
      <c r="F105" s="684"/>
      <c r="G105" s="684"/>
      <c r="H105" s="684"/>
      <c r="I105" s="684"/>
      <c r="J105" s="684"/>
      <c r="K105" s="684"/>
      <c r="L105" s="684"/>
      <c r="M105" s="684"/>
      <c r="N105" s="684"/>
      <c r="O105" s="684"/>
      <c r="P105" s="684"/>
      <c r="Q105" s="684"/>
      <c r="R105" s="684"/>
      <c r="S105" s="684"/>
      <c r="T105" s="684"/>
      <c r="U105" s="685" t="e">
        <f>SUM(U102:U104)</f>
        <v>#N/A</v>
      </c>
      <c r="V105" s="685"/>
      <c r="W105" s="709"/>
      <c r="X105" s="709"/>
      <c r="Y105" s="709"/>
      <c r="Z105" s="709"/>
      <c r="AA105" s="709"/>
      <c r="AB105" s="1"/>
      <c r="AC105" s="105" t="e">
        <f>SUM(AC102:AC104)</f>
        <v>#N/A</v>
      </c>
      <c r="AD105" s="1"/>
      <c r="AE105" s="1"/>
      <c r="AF105" s="1"/>
      <c r="AH105" s="1"/>
      <c r="AI105" s="1"/>
      <c r="AJ105" s="1"/>
      <c r="AL105" s="17"/>
      <c r="AM105" s="62" t="s">
        <v>243</v>
      </c>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row>
    <row r="106" spans="1:83" ht="15.3" x14ac:dyDescent="0.55000000000000004">
      <c r="A106" s="216"/>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76"/>
      <c r="AC106" s="105"/>
      <c r="AF106" s="1"/>
      <c r="AH106" s="1"/>
      <c r="AI106" s="1"/>
      <c r="AJ106" s="1"/>
      <c r="AL106" s="17"/>
      <c r="AM106" s="62" t="s">
        <v>244</v>
      </c>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row>
    <row r="107" spans="1:83" ht="15.75" customHeight="1" x14ac:dyDescent="0.55000000000000004">
      <c r="A107" s="585" t="s">
        <v>97</v>
      </c>
      <c r="B107" s="585"/>
      <c r="C107" s="585"/>
      <c r="D107" s="585"/>
      <c r="E107" s="585"/>
      <c r="F107" s="585"/>
      <c r="G107" s="585"/>
      <c r="H107" s="585"/>
      <c r="I107" s="585"/>
      <c r="J107" s="585"/>
      <c r="K107" s="585"/>
      <c r="L107" s="585"/>
      <c r="M107" s="585"/>
      <c r="N107" s="585"/>
      <c r="O107" s="585"/>
      <c r="P107" s="19" t="s">
        <v>72</v>
      </c>
      <c r="R107" s="19" t="s">
        <v>115</v>
      </c>
      <c r="S107" s="19" t="s">
        <v>118</v>
      </c>
      <c r="T107" s="20" t="s">
        <v>55</v>
      </c>
      <c r="U107" s="210" t="s">
        <v>49</v>
      </c>
      <c r="V107" s="210"/>
      <c r="W107" s="210" t="s">
        <v>50</v>
      </c>
      <c r="X107" s="210"/>
      <c r="Y107" s="210"/>
      <c r="Z107" s="210"/>
      <c r="AA107" s="210"/>
      <c r="AC107" s="246"/>
      <c r="AE107" s="77"/>
      <c r="AF107" s="1"/>
      <c r="AH107" s="1"/>
      <c r="AI107" s="1"/>
      <c r="AJ107" s="1"/>
      <c r="AL107" s="10">
        <v>15</v>
      </c>
      <c r="AM107" s="10" t="s">
        <v>265</v>
      </c>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row>
    <row r="108" spans="1:83" ht="66" customHeight="1" x14ac:dyDescent="0.55000000000000004">
      <c r="A108" s="186"/>
      <c r="B108" s="375" t="s">
        <v>387</v>
      </c>
      <c r="C108" s="375"/>
      <c r="D108" s="375"/>
      <c r="E108" s="375"/>
      <c r="F108" s="375"/>
      <c r="G108" s="375"/>
      <c r="H108" s="375"/>
      <c r="I108" s="375"/>
      <c r="J108" s="375"/>
      <c r="K108" s="375"/>
      <c r="L108" s="375"/>
      <c r="M108" s="375"/>
      <c r="N108" s="375"/>
      <c r="O108" s="375"/>
      <c r="P108" s="22"/>
      <c r="R108" s="22"/>
      <c r="S108" s="22"/>
      <c r="T108" s="14"/>
      <c r="U108" s="814" t="e">
        <f t="shared" ref="U108" si="35">_xlfn.IFS($P108="Si",1,$Q108="Si",0.5,$R108="Si",0,$S108="Si","N/A")</f>
        <v>#N/A</v>
      </c>
      <c r="V108" s="814" t="e">
        <f t="shared" ref="V108" si="36">_xlfn.IFS($S108="Si",1,$R108="Si",0.5,$U154="Si",0,$V154="Si","N/A")</f>
        <v>#N/A</v>
      </c>
      <c r="W108" s="808"/>
      <c r="X108" s="809"/>
      <c r="Y108" s="809"/>
      <c r="Z108" s="809"/>
      <c r="AA108" s="810"/>
      <c r="AB108" s="1"/>
      <c r="AC108" s="246" t="e">
        <f t="shared" ref="AC108" si="37">_xlfn.IFS($P108="Si",0,$Q108="si",0,$R108="si",0,$S108="si",1)</f>
        <v>#N/A</v>
      </c>
      <c r="AD108" s="1"/>
      <c r="AE108" s="1"/>
      <c r="AF108" s="1"/>
      <c r="AH108" s="1"/>
      <c r="AI108" s="1"/>
      <c r="AJ108" s="1"/>
      <c r="AK108" s="1"/>
      <c r="AL108" s="17"/>
      <c r="AM108" s="62" t="s">
        <v>245</v>
      </c>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row>
    <row r="109" spans="1:83" ht="15.75" customHeight="1" x14ac:dyDescent="0.55000000000000004">
      <c r="A109" s="684" t="s">
        <v>51</v>
      </c>
      <c r="B109" s="684"/>
      <c r="C109" s="684"/>
      <c r="D109" s="684"/>
      <c r="E109" s="684"/>
      <c r="F109" s="684"/>
      <c r="G109" s="684"/>
      <c r="H109" s="684"/>
      <c r="I109" s="684"/>
      <c r="J109" s="684"/>
      <c r="K109" s="684"/>
      <c r="L109" s="684"/>
      <c r="M109" s="684"/>
      <c r="N109" s="684"/>
      <c r="O109" s="684"/>
      <c r="P109" s="684"/>
      <c r="Q109" s="684"/>
      <c r="R109" s="684"/>
      <c r="S109" s="684"/>
      <c r="T109" s="684"/>
      <c r="U109" s="685" t="e">
        <f>SUM(U108)</f>
        <v>#N/A</v>
      </c>
      <c r="V109" s="685"/>
      <c r="W109" s="709"/>
      <c r="X109" s="709"/>
      <c r="Y109" s="709"/>
      <c r="Z109" s="709"/>
      <c r="AA109" s="709"/>
      <c r="AB109" s="1"/>
      <c r="AC109" s="105" t="e">
        <f>SUM(AC108)</f>
        <v>#N/A</v>
      </c>
      <c r="AD109" s="1"/>
      <c r="AE109" s="1"/>
      <c r="AF109" s="1"/>
      <c r="AH109" s="1"/>
      <c r="AI109" s="1"/>
      <c r="AJ109" s="1"/>
      <c r="AK109" s="1"/>
      <c r="AL109" s="17"/>
      <c r="AM109" s="62" t="s">
        <v>246</v>
      </c>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row>
    <row r="110" spans="1:83" ht="15.75" customHeight="1" x14ac:dyDescent="0.55000000000000004">
      <c r="A110" s="484"/>
      <c r="B110" s="484"/>
      <c r="C110" s="484"/>
      <c r="D110" s="484"/>
      <c r="E110" s="484"/>
      <c r="F110" s="484"/>
      <c r="G110" s="484"/>
      <c r="H110" s="484"/>
      <c r="I110" s="484"/>
      <c r="J110" s="484"/>
      <c r="K110" s="484"/>
      <c r="L110" s="484"/>
      <c r="M110" s="484"/>
      <c r="N110" s="484"/>
      <c r="O110" s="484"/>
      <c r="P110" s="484"/>
      <c r="Q110" s="484"/>
      <c r="R110" s="484"/>
      <c r="S110" s="484"/>
      <c r="T110" s="484"/>
      <c r="U110" s="484"/>
      <c r="V110" s="484"/>
      <c r="W110" s="484"/>
      <c r="X110" s="484"/>
      <c r="Y110" s="484"/>
      <c r="Z110" s="484"/>
      <c r="AA110" s="484"/>
      <c r="AC110" s="105"/>
      <c r="AF110" s="1"/>
      <c r="AH110" s="1"/>
      <c r="AI110" s="1"/>
      <c r="AJ110" s="1"/>
      <c r="AK110" s="1"/>
      <c r="AL110" s="17"/>
      <c r="AM110" s="62" t="s">
        <v>247</v>
      </c>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row>
    <row r="111" spans="1:83" ht="15.75" customHeight="1" x14ac:dyDescent="0.55000000000000004">
      <c r="A111" s="518" t="s">
        <v>98</v>
      </c>
      <c r="B111" s="518"/>
      <c r="C111" s="518"/>
      <c r="D111" s="518"/>
      <c r="E111" s="518"/>
      <c r="F111" s="518"/>
      <c r="G111" s="518"/>
      <c r="H111" s="518"/>
      <c r="I111" s="518"/>
      <c r="J111" s="518"/>
      <c r="K111" s="518"/>
      <c r="L111" s="518"/>
      <c r="M111" s="518"/>
      <c r="N111" s="518"/>
      <c r="O111" s="518"/>
      <c r="P111" s="21" t="s">
        <v>72</v>
      </c>
      <c r="R111" s="21" t="s">
        <v>115</v>
      </c>
      <c r="S111" s="21" t="s">
        <v>118</v>
      </c>
      <c r="T111" s="25" t="s">
        <v>55</v>
      </c>
      <c r="U111" s="228" t="s">
        <v>49</v>
      </c>
      <c r="V111" s="228"/>
      <c r="W111" s="228" t="s">
        <v>50</v>
      </c>
      <c r="X111" s="228"/>
      <c r="Y111" s="228"/>
      <c r="Z111" s="228"/>
      <c r="AA111" s="228"/>
      <c r="AC111" s="246"/>
      <c r="AE111" s="77"/>
      <c r="AF111" s="1"/>
      <c r="AH111" s="1"/>
      <c r="AI111" s="1"/>
      <c r="AJ111" s="1"/>
      <c r="AK111" s="1"/>
      <c r="AL111" s="10">
        <v>16</v>
      </c>
      <c r="AM111" s="10" t="s">
        <v>266</v>
      </c>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row>
    <row r="112" spans="1:83" ht="96" customHeight="1" x14ac:dyDescent="0.55000000000000004">
      <c r="A112" s="186"/>
      <c r="B112" s="375" t="s">
        <v>394</v>
      </c>
      <c r="C112" s="375"/>
      <c r="D112" s="375"/>
      <c r="E112" s="375"/>
      <c r="F112" s="375"/>
      <c r="G112" s="375"/>
      <c r="H112" s="375"/>
      <c r="I112" s="375"/>
      <c r="J112" s="375"/>
      <c r="K112" s="375"/>
      <c r="L112" s="375"/>
      <c r="M112" s="375"/>
      <c r="N112" s="375"/>
      <c r="O112" s="375"/>
      <c r="P112" s="22"/>
      <c r="R112" s="22"/>
      <c r="S112" s="22"/>
      <c r="T112" s="14"/>
      <c r="U112" s="814" t="e">
        <f t="shared" ref="U112" si="38">_xlfn.IFS($P112="Si",1,$Q112="Si",0.5,$R112="Si",0,$S112="Si","N/A")</f>
        <v>#N/A</v>
      </c>
      <c r="V112" s="814" t="e">
        <f t="shared" ref="V112" si="39">_xlfn.IFS($S112="Si",1,$R112="Si",0.5,$U158="Si",0,$V158="Si","N/A")</f>
        <v>#N/A</v>
      </c>
      <c r="W112" s="703"/>
      <c r="X112" s="704"/>
      <c r="Y112" s="704"/>
      <c r="Z112" s="704"/>
      <c r="AA112" s="705"/>
      <c r="AC112" s="246" t="e">
        <f t="shared" ref="AC112" si="40">_xlfn.IFS($P112="Si",0,$Q112="si",0,$R112="si",0,$S112="si",1)</f>
        <v>#N/A</v>
      </c>
      <c r="AF112" s="1"/>
      <c r="AH112" s="1"/>
      <c r="AI112" s="1"/>
      <c r="AJ112" s="1"/>
      <c r="AK112" s="1"/>
      <c r="AL112" s="10">
        <v>17</v>
      </c>
      <c r="AM112" s="10" t="s">
        <v>267</v>
      </c>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row>
    <row r="113" spans="1:83" ht="15.75" customHeight="1" x14ac:dyDescent="0.55000000000000004">
      <c r="A113" s="684" t="s">
        <v>51</v>
      </c>
      <c r="B113" s="684"/>
      <c r="C113" s="684"/>
      <c r="D113" s="684"/>
      <c r="E113" s="684"/>
      <c r="F113" s="684"/>
      <c r="G113" s="684"/>
      <c r="H113" s="684"/>
      <c r="I113" s="684"/>
      <c r="J113" s="684"/>
      <c r="K113" s="684"/>
      <c r="L113" s="684"/>
      <c r="M113" s="684"/>
      <c r="N113" s="684"/>
      <c r="O113" s="684"/>
      <c r="P113" s="684"/>
      <c r="Q113" s="684"/>
      <c r="R113" s="684"/>
      <c r="S113" s="684"/>
      <c r="T113" s="684"/>
      <c r="U113" s="685" t="e">
        <f>SUM(U112)</f>
        <v>#N/A</v>
      </c>
      <c r="V113" s="685"/>
      <c r="W113" s="709"/>
      <c r="X113" s="709"/>
      <c r="Y113" s="709"/>
      <c r="Z113" s="709"/>
      <c r="AA113" s="709"/>
      <c r="AB113" s="1"/>
      <c r="AC113" s="105" t="e">
        <f>SUM(AC112)</f>
        <v>#N/A</v>
      </c>
      <c r="AD113" s="1"/>
      <c r="AE113" s="1"/>
      <c r="AF113" s="1"/>
      <c r="AH113" s="1"/>
      <c r="AI113" s="1"/>
      <c r="AJ113" s="1"/>
      <c r="AK113" s="1"/>
      <c r="AM113" s="62" t="s">
        <v>248</v>
      </c>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row>
    <row r="114" spans="1:83" ht="15.75" customHeight="1" x14ac:dyDescent="0.55000000000000004">
      <c r="A114" s="503"/>
      <c r="B114" s="504"/>
      <c r="C114" s="504"/>
      <c r="D114" s="504"/>
      <c r="E114" s="504"/>
      <c r="F114" s="504"/>
      <c r="G114" s="504"/>
      <c r="H114" s="504"/>
      <c r="I114" s="504"/>
      <c r="J114" s="504"/>
      <c r="K114" s="504"/>
      <c r="L114" s="504"/>
      <c r="M114" s="504"/>
      <c r="N114" s="504"/>
      <c r="O114" s="504"/>
      <c r="P114" s="504"/>
      <c r="Q114" s="504"/>
      <c r="R114" s="504"/>
      <c r="S114" s="504"/>
      <c r="T114" s="504"/>
      <c r="U114" s="504"/>
      <c r="V114" s="504"/>
      <c r="W114" s="504"/>
      <c r="X114" s="504"/>
      <c r="Y114" s="504"/>
      <c r="Z114" s="504"/>
      <c r="AA114" s="505"/>
      <c r="AB114" s="1"/>
      <c r="AC114" s="105"/>
      <c r="AD114" s="1"/>
      <c r="AE114" s="1"/>
      <c r="AF114" s="1"/>
      <c r="AH114" s="1"/>
      <c r="AI114" s="1"/>
      <c r="AJ114" s="1"/>
      <c r="AK114" s="1"/>
      <c r="AM114" s="62" t="s">
        <v>249</v>
      </c>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row>
    <row r="115" spans="1:83" ht="15.75" customHeight="1" x14ac:dyDescent="0.55000000000000004">
      <c r="A115" s="404" t="s">
        <v>99</v>
      </c>
      <c r="B115" s="404"/>
      <c r="C115" s="404"/>
      <c r="D115" s="404"/>
      <c r="E115" s="404"/>
      <c r="F115" s="404"/>
      <c r="G115" s="404"/>
      <c r="H115" s="404"/>
      <c r="I115" s="404"/>
      <c r="J115" s="404"/>
      <c r="K115" s="404"/>
      <c r="L115" s="404"/>
      <c r="M115" s="404"/>
      <c r="N115" s="404"/>
      <c r="O115" s="404"/>
      <c r="P115" s="404"/>
      <c r="Q115" s="404"/>
      <c r="R115" s="404"/>
      <c r="S115" s="404"/>
      <c r="T115" s="404"/>
      <c r="U115" s="404"/>
      <c r="V115" s="404"/>
      <c r="W115" s="404"/>
      <c r="X115" s="404"/>
      <c r="Y115" s="404"/>
      <c r="Z115" s="404"/>
      <c r="AA115" s="404"/>
      <c r="AB115" s="15"/>
      <c r="AC115" s="105"/>
      <c r="AD115" s="15"/>
      <c r="AE115" s="15"/>
      <c r="AF115" s="1"/>
      <c r="AH115" s="1"/>
      <c r="AI115" s="1"/>
      <c r="AJ115" s="1"/>
      <c r="AK115" s="1"/>
      <c r="AM115" s="62" t="s">
        <v>250</v>
      </c>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row>
    <row r="116" spans="1:83" ht="18.75" customHeight="1" x14ac:dyDescent="0.55000000000000004">
      <c r="A116" s="518" t="s">
        <v>100</v>
      </c>
      <c r="B116" s="518"/>
      <c r="C116" s="518"/>
      <c r="D116" s="518"/>
      <c r="E116" s="518"/>
      <c r="F116" s="518"/>
      <c r="G116" s="518"/>
      <c r="H116" s="518"/>
      <c r="I116" s="518"/>
      <c r="J116" s="518"/>
      <c r="K116" s="518"/>
      <c r="L116" s="518"/>
      <c r="M116" s="518"/>
      <c r="N116" s="518"/>
      <c r="O116" s="518"/>
      <c r="P116" s="21" t="s">
        <v>72</v>
      </c>
      <c r="Q116" s="21" t="s">
        <v>88</v>
      </c>
      <c r="R116" s="21" t="s">
        <v>115</v>
      </c>
      <c r="S116" s="21" t="s">
        <v>118</v>
      </c>
      <c r="T116" s="25" t="s">
        <v>55</v>
      </c>
      <c r="U116" s="228" t="s">
        <v>49</v>
      </c>
      <c r="V116" s="228"/>
      <c r="W116" s="228" t="s">
        <v>50</v>
      </c>
      <c r="X116" s="228"/>
      <c r="Y116" s="228"/>
      <c r="Z116" s="228"/>
      <c r="AA116" s="228"/>
      <c r="AC116" s="246"/>
      <c r="AE116" s="77"/>
      <c r="AF116" s="1"/>
      <c r="AH116" s="1"/>
      <c r="AI116" s="1"/>
      <c r="AJ116" s="1"/>
      <c r="AK116" s="1"/>
      <c r="AM116" s="62" t="s">
        <v>251</v>
      </c>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row>
    <row r="117" spans="1:83" ht="49.5" customHeight="1" x14ac:dyDescent="0.55000000000000004">
      <c r="A117" s="26"/>
      <c r="B117" s="375" t="s">
        <v>400</v>
      </c>
      <c r="C117" s="375"/>
      <c r="D117" s="375"/>
      <c r="E117" s="375"/>
      <c r="F117" s="375"/>
      <c r="G117" s="375"/>
      <c r="H117" s="375"/>
      <c r="I117" s="375"/>
      <c r="J117" s="375"/>
      <c r="K117" s="375"/>
      <c r="L117" s="375"/>
      <c r="M117" s="375"/>
      <c r="N117" s="375"/>
      <c r="O117" s="375"/>
      <c r="P117" s="22"/>
      <c r="Q117" s="22"/>
      <c r="R117" s="22"/>
      <c r="S117" s="22"/>
      <c r="T117" s="14"/>
      <c r="U117" s="814" t="e">
        <f t="shared" ref="U117" si="41">_xlfn.IFS($P117="Si",1,$Q117="Si",0.5,$R117="Si",0,$S117="Si","N/A")</f>
        <v>#N/A</v>
      </c>
      <c r="V117" s="814" t="e">
        <f t="shared" ref="V117" si="42">_xlfn.IFS($S117="Si",1,$R117="Si",0.5,$U163="Si",0,$V163="Si","N/A")</f>
        <v>#N/A</v>
      </c>
      <c r="W117" s="648"/>
      <c r="X117" s="648"/>
      <c r="Y117" s="648"/>
      <c r="Z117" s="648"/>
      <c r="AA117" s="648"/>
      <c r="AB117" s="7"/>
      <c r="AC117" s="246" t="e">
        <f t="shared" ref="AC117" si="43">_xlfn.IFS($P117="Si",0,$Q117="si",0,$R117="si",0,$S117="si",1)</f>
        <v>#N/A</v>
      </c>
      <c r="AD117" s="7"/>
      <c r="AE117" s="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row>
    <row r="118" spans="1:83" ht="15.75" customHeight="1" x14ac:dyDescent="0.55000000000000004">
      <c r="A118" s="684" t="s">
        <v>51</v>
      </c>
      <c r="B118" s="684"/>
      <c r="C118" s="684"/>
      <c r="D118" s="684"/>
      <c r="E118" s="684"/>
      <c r="F118" s="684"/>
      <c r="G118" s="684"/>
      <c r="H118" s="684"/>
      <c r="I118" s="684"/>
      <c r="J118" s="684"/>
      <c r="K118" s="684"/>
      <c r="L118" s="684"/>
      <c r="M118" s="684"/>
      <c r="N118" s="684"/>
      <c r="O118" s="684"/>
      <c r="P118" s="684"/>
      <c r="Q118" s="684"/>
      <c r="R118" s="684"/>
      <c r="S118" s="684"/>
      <c r="T118" s="684"/>
      <c r="U118" s="685" t="e">
        <f>SUM(U117)</f>
        <v>#N/A</v>
      </c>
      <c r="V118" s="685"/>
      <c r="W118" s="709"/>
      <c r="X118" s="709"/>
      <c r="Y118" s="709"/>
      <c r="Z118" s="709"/>
      <c r="AA118" s="709"/>
      <c r="AB118" s="7"/>
      <c r="AC118" s="105" t="e">
        <f>SUM(AC117)</f>
        <v>#N/A</v>
      </c>
      <c r="AD118" s="7"/>
      <c r="AE118" s="7"/>
      <c r="AF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row>
    <row r="119" spans="1:83" ht="15.75" customHeight="1" x14ac:dyDescent="0.55000000000000004">
      <c r="A119" s="539"/>
      <c r="B119" s="539"/>
      <c r="C119" s="539"/>
      <c r="D119" s="539"/>
      <c r="E119" s="539"/>
      <c r="F119" s="539"/>
      <c r="G119" s="539"/>
      <c r="H119" s="539"/>
      <c r="I119" s="539"/>
      <c r="J119" s="539"/>
      <c r="K119" s="539"/>
      <c r="L119" s="539"/>
      <c r="M119" s="539"/>
      <c r="N119" s="539"/>
      <c r="O119" s="539"/>
      <c r="P119" s="539"/>
      <c r="Q119" s="539"/>
      <c r="R119" s="539"/>
      <c r="S119" s="539"/>
      <c r="T119" s="539"/>
      <c r="U119" s="539"/>
      <c r="V119" s="539"/>
      <c r="W119" s="539"/>
      <c r="X119" s="539"/>
      <c r="Y119" s="539"/>
      <c r="Z119" s="539"/>
      <c r="AA119" s="539"/>
      <c r="AB119" s="1"/>
      <c r="AC119" s="105"/>
      <c r="AD119" s="1"/>
      <c r="AE119" s="1"/>
      <c r="AF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row>
    <row r="120" spans="1:83" ht="15.75" customHeight="1" x14ac:dyDescent="0.55000000000000004">
      <c r="A120" s="367" t="s">
        <v>101</v>
      </c>
      <c r="B120" s="368"/>
      <c r="C120" s="368"/>
      <c r="D120" s="368"/>
      <c r="E120" s="368"/>
      <c r="F120" s="368"/>
      <c r="G120" s="368"/>
      <c r="H120" s="368"/>
      <c r="I120" s="368"/>
      <c r="J120" s="368"/>
      <c r="K120" s="368"/>
      <c r="L120" s="368"/>
      <c r="M120" s="368"/>
      <c r="N120" s="368"/>
      <c r="O120" s="369"/>
      <c r="P120" s="21" t="s">
        <v>72</v>
      </c>
      <c r="Q120" s="25" t="s">
        <v>88</v>
      </c>
      <c r="R120" s="25" t="s">
        <v>115</v>
      </c>
      <c r="S120" s="21" t="s">
        <v>118</v>
      </c>
      <c r="T120" s="25" t="s">
        <v>55</v>
      </c>
      <c r="U120" s="228" t="s">
        <v>49</v>
      </c>
      <c r="V120" s="228"/>
      <c r="W120" s="228" t="s">
        <v>50</v>
      </c>
      <c r="X120" s="228"/>
      <c r="Y120" s="228"/>
      <c r="Z120" s="228"/>
      <c r="AA120" s="228"/>
      <c r="AC120" s="246"/>
      <c r="AE120" s="77"/>
      <c r="AF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row>
    <row r="121" spans="1:83" ht="63.75" customHeight="1" x14ac:dyDescent="0.55000000000000004">
      <c r="A121" s="26"/>
      <c r="B121" s="375" t="s">
        <v>525</v>
      </c>
      <c r="C121" s="375"/>
      <c r="D121" s="375"/>
      <c r="E121" s="375"/>
      <c r="F121" s="375"/>
      <c r="G121" s="375"/>
      <c r="H121" s="375"/>
      <c r="I121" s="375"/>
      <c r="J121" s="375"/>
      <c r="K121" s="375"/>
      <c r="L121" s="375"/>
      <c r="M121" s="375"/>
      <c r="N121" s="375"/>
      <c r="O121" s="375"/>
      <c r="P121" s="22"/>
      <c r="Q121" s="22"/>
      <c r="R121" s="22"/>
      <c r="S121" s="22"/>
      <c r="T121" s="14"/>
      <c r="U121" s="814" t="e">
        <f t="shared" ref="U121" si="44">_xlfn.IFS($P121="Si",1,$Q121="Si",0.5,$R121="Si",0,$S121="Si","N/A")</f>
        <v>#N/A</v>
      </c>
      <c r="V121" s="814" t="e">
        <f t="shared" ref="V121" si="45">_xlfn.IFS($S121="Si",1,$R121="Si",0.5,$U167="Si",0,$V167="Si","N/A")</f>
        <v>#N/A</v>
      </c>
      <c r="W121" s="648"/>
      <c r="X121" s="648"/>
      <c r="Y121" s="648"/>
      <c r="Z121" s="648"/>
      <c r="AA121" s="648"/>
      <c r="AC121" s="246" t="e">
        <f t="shared" ref="AC121" si="46">_xlfn.IFS($P121="Si",0,$Q121="si",0,$R121="si",0,$S121="si",1)</f>
        <v>#N/A</v>
      </c>
      <c r="AF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row>
    <row r="122" spans="1:83" ht="15.75" customHeight="1" x14ac:dyDescent="0.55000000000000004">
      <c r="A122" s="684" t="s">
        <v>51</v>
      </c>
      <c r="B122" s="684"/>
      <c r="C122" s="684"/>
      <c r="D122" s="684"/>
      <c r="E122" s="684"/>
      <c r="F122" s="684"/>
      <c r="G122" s="684"/>
      <c r="H122" s="684"/>
      <c r="I122" s="684"/>
      <c r="J122" s="684"/>
      <c r="K122" s="684"/>
      <c r="L122" s="684"/>
      <c r="M122" s="684"/>
      <c r="N122" s="684"/>
      <c r="O122" s="684"/>
      <c r="P122" s="684"/>
      <c r="Q122" s="684"/>
      <c r="R122" s="684"/>
      <c r="S122" s="684"/>
      <c r="T122" s="684"/>
      <c r="U122" s="685" t="e">
        <f>SUM(U121)</f>
        <v>#N/A</v>
      </c>
      <c r="V122" s="685"/>
      <c r="W122" s="709"/>
      <c r="X122" s="709"/>
      <c r="Y122" s="709"/>
      <c r="Z122" s="709"/>
      <c r="AA122" s="709"/>
      <c r="AC122" s="104" t="e">
        <f>SUM(AC121)</f>
        <v>#N/A</v>
      </c>
      <c r="AF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row>
    <row r="123" spans="1:83" ht="15.3" x14ac:dyDescent="0.55000000000000004">
      <c r="A123" s="539"/>
      <c r="B123" s="539"/>
      <c r="C123" s="539"/>
      <c r="D123" s="539"/>
      <c r="E123" s="539"/>
      <c r="F123" s="539"/>
      <c r="G123" s="539"/>
      <c r="H123" s="539"/>
      <c r="I123" s="539"/>
      <c r="J123" s="539"/>
      <c r="K123" s="539"/>
      <c r="L123" s="539"/>
      <c r="M123" s="539"/>
      <c r="N123" s="539"/>
      <c r="O123" s="539"/>
      <c r="P123" s="539"/>
      <c r="Q123" s="539"/>
      <c r="R123" s="539"/>
      <c r="S123" s="539"/>
      <c r="T123" s="539"/>
      <c r="U123" s="539"/>
      <c r="V123" s="539"/>
      <c r="W123" s="539"/>
      <c r="X123" s="539"/>
      <c r="Y123" s="539"/>
      <c r="Z123" s="539"/>
      <c r="AA123" s="539"/>
      <c r="AB123" s="1"/>
      <c r="AC123" s="105"/>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row>
    <row r="124" spans="1:83" ht="15.75" customHeight="1" x14ac:dyDescent="0.55000000000000004">
      <c r="A124" s="518" t="s">
        <v>102</v>
      </c>
      <c r="B124" s="518"/>
      <c r="C124" s="518"/>
      <c r="D124" s="518"/>
      <c r="E124" s="518"/>
      <c r="F124" s="518"/>
      <c r="G124" s="518"/>
      <c r="H124" s="518"/>
      <c r="I124" s="518"/>
      <c r="J124" s="518"/>
      <c r="K124" s="518"/>
      <c r="L124" s="518"/>
      <c r="M124" s="518"/>
      <c r="N124" s="518"/>
      <c r="O124" s="518"/>
      <c r="P124" s="21" t="s">
        <v>72</v>
      </c>
      <c r="Q124" s="21" t="s">
        <v>88</v>
      </c>
      <c r="R124" s="21" t="s">
        <v>115</v>
      </c>
      <c r="S124" s="21" t="s">
        <v>118</v>
      </c>
      <c r="T124" s="25" t="s">
        <v>55</v>
      </c>
      <c r="U124" s="228" t="s">
        <v>49</v>
      </c>
      <c r="V124" s="228"/>
      <c r="W124" s="228" t="s">
        <v>50</v>
      </c>
      <c r="X124" s="228"/>
      <c r="Y124" s="228"/>
      <c r="Z124" s="228"/>
      <c r="AA124" s="228"/>
      <c r="AC124" s="246"/>
      <c r="AE124" s="77"/>
      <c r="AF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row>
    <row r="125" spans="1:83" ht="93.75" customHeight="1" x14ac:dyDescent="0.55000000000000004">
      <c r="A125" s="26"/>
      <c r="B125" s="375" t="s">
        <v>406</v>
      </c>
      <c r="C125" s="375"/>
      <c r="D125" s="375"/>
      <c r="E125" s="375"/>
      <c r="F125" s="375"/>
      <c r="G125" s="375"/>
      <c r="H125" s="375"/>
      <c r="I125" s="375"/>
      <c r="J125" s="375"/>
      <c r="K125" s="375"/>
      <c r="L125" s="375"/>
      <c r="M125" s="375"/>
      <c r="N125" s="375"/>
      <c r="O125" s="375"/>
      <c r="P125" s="22"/>
      <c r="Q125" s="22"/>
      <c r="R125" s="22"/>
      <c r="S125" s="22"/>
      <c r="T125" s="14"/>
      <c r="U125" s="814" t="e">
        <f t="shared" ref="U125" si="47">_xlfn.IFS($P125="Si",1,$Q125="Si",0.5,$R125="Si",0,$S125="Si","N/A")</f>
        <v>#N/A</v>
      </c>
      <c r="V125" s="814" t="e">
        <f t="shared" ref="V125" si="48">_xlfn.IFS($S125="Si",1,$R125="Si",0.5,$U171="Si",0,$V171="Si","N/A")</f>
        <v>#N/A</v>
      </c>
      <c r="W125" s="648"/>
      <c r="X125" s="648"/>
      <c r="Y125" s="648"/>
      <c r="Z125" s="648"/>
      <c r="AA125" s="648"/>
      <c r="AB125" s="185"/>
      <c r="AC125" s="246" t="e">
        <f t="shared" ref="AC125" si="49">_xlfn.IFS($P125="Si",0,$Q125="si",0,$R125="si",0,$S125="si",1)</f>
        <v>#N/A</v>
      </c>
      <c r="AD125" s="185"/>
      <c r="AE125" s="185"/>
      <c r="AF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row>
    <row r="126" spans="1:83" ht="15.75" customHeight="1" x14ac:dyDescent="0.55000000000000004">
      <c r="A126" s="787" t="s">
        <v>51</v>
      </c>
      <c r="B126" s="788"/>
      <c r="C126" s="788"/>
      <c r="D126" s="788"/>
      <c r="E126" s="788"/>
      <c r="F126" s="788"/>
      <c r="G126" s="788"/>
      <c r="H126" s="788"/>
      <c r="I126" s="788"/>
      <c r="J126" s="788"/>
      <c r="K126" s="788"/>
      <c r="L126" s="788"/>
      <c r="M126" s="788"/>
      <c r="N126" s="788"/>
      <c r="O126" s="788"/>
      <c r="P126" s="788"/>
      <c r="Q126" s="788"/>
      <c r="R126" s="788"/>
      <c r="S126" s="788"/>
      <c r="T126" s="789"/>
      <c r="U126" s="685" t="e">
        <f>SUM(U125)</f>
        <v>#N/A</v>
      </c>
      <c r="V126" s="685"/>
      <c r="W126" s="709"/>
      <c r="X126" s="709"/>
      <c r="Y126" s="709"/>
      <c r="Z126" s="709"/>
      <c r="AA126" s="709"/>
      <c r="AB126" s="7"/>
      <c r="AC126" s="105" t="e">
        <f>SUM(AC125)</f>
        <v>#N/A</v>
      </c>
      <c r="AD126" s="7"/>
      <c r="AE126" s="7"/>
      <c r="AF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row>
    <row r="127" spans="1:83" ht="15.75" customHeight="1" x14ac:dyDescent="0.55000000000000004">
      <c r="A127" s="539"/>
      <c r="B127" s="539"/>
      <c r="C127" s="539"/>
      <c r="D127" s="539"/>
      <c r="E127" s="539"/>
      <c r="F127" s="539"/>
      <c r="G127" s="539"/>
      <c r="H127" s="539"/>
      <c r="I127" s="539"/>
      <c r="J127" s="539"/>
      <c r="K127" s="539"/>
      <c r="L127" s="539"/>
      <c r="M127" s="539"/>
      <c r="N127" s="539"/>
      <c r="O127" s="539"/>
      <c r="P127" s="539"/>
      <c r="Q127" s="539"/>
      <c r="R127" s="539"/>
      <c r="S127" s="539"/>
      <c r="T127" s="539"/>
      <c r="U127" s="539"/>
      <c r="V127" s="539"/>
      <c r="W127" s="539"/>
      <c r="X127" s="539"/>
      <c r="Y127" s="539"/>
      <c r="Z127" s="539"/>
      <c r="AA127" s="539"/>
      <c r="AB127" s="1"/>
      <c r="AC127" s="105"/>
      <c r="AD127" s="1"/>
      <c r="AE127" s="1"/>
      <c r="AF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row>
    <row r="128" spans="1:83" ht="36.75" customHeight="1" x14ac:dyDescent="0.55000000000000004">
      <c r="A128" s="815" t="s">
        <v>141</v>
      </c>
      <c r="B128" s="815"/>
      <c r="C128" s="815"/>
      <c r="D128" s="815"/>
      <c r="E128" s="815"/>
      <c r="F128" s="815"/>
      <c r="G128" s="815"/>
      <c r="H128" s="815"/>
      <c r="I128" s="815"/>
      <c r="J128" s="815"/>
      <c r="K128" s="815"/>
      <c r="L128" s="815"/>
      <c r="M128" s="815"/>
      <c r="N128" s="815"/>
      <c r="O128" s="815"/>
      <c r="P128" s="815"/>
      <c r="Q128" s="815"/>
      <c r="R128" s="815"/>
      <c r="S128" s="815"/>
      <c r="T128" s="815"/>
      <c r="U128" s="815"/>
      <c r="V128" s="815"/>
      <c r="W128" s="815"/>
      <c r="X128" s="815"/>
      <c r="Y128" s="815"/>
      <c r="Z128" s="815"/>
      <c r="AA128" s="815"/>
      <c r="AB128" s="232"/>
      <c r="AC128" s="105"/>
      <c r="AD128" s="232"/>
      <c r="AE128" s="232"/>
      <c r="AF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row>
    <row r="129" spans="1:83" ht="15.75" customHeight="1" x14ac:dyDescent="0.55000000000000004">
      <c r="A129" s="621" t="s">
        <v>103</v>
      </c>
      <c r="B129" s="621"/>
      <c r="C129" s="621"/>
      <c r="D129" s="621"/>
      <c r="E129" s="621"/>
      <c r="F129" s="621"/>
      <c r="G129" s="621"/>
      <c r="H129" s="621"/>
      <c r="I129" s="621"/>
      <c r="J129" s="621"/>
      <c r="K129" s="621"/>
      <c r="L129" s="621"/>
      <c r="M129" s="621"/>
      <c r="N129" s="621"/>
      <c r="O129" s="621"/>
      <c r="P129" s="621"/>
      <c r="Q129" s="621"/>
      <c r="R129" s="621"/>
      <c r="S129" s="621"/>
      <c r="T129" s="621"/>
      <c r="U129" s="621"/>
      <c r="V129" s="621"/>
      <c r="W129" s="621"/>
      <c r="X129" s="621"/>
      <c r="Y129" s="621"/>
      <c r="Z129" s="621"/>
      <c r="AA129" s="621"/>
      <c r="AB129" s="233"/>
      <c r="AC129" s="105"/>
      <c r="AD129" s="233"/>
      <c r="AE129" s="233"/>
      <c r="AF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row>
    <row r="130" spans="1:83" ht="15.75" customHeight="1" x14ac:dyDescent="0.55000000000000004">
      <c r="A130" s="347" t="s">
        <v>104</v>
      </c>
      <c r="B130" s="348"/>
      <c r="C130" s="348"/>
      <c r="D130" s="348"/>
      <c r="E130" s="348"/>
      <c r="F130" s="348"/>
      <c r="G130" s="348"/>
      <c r="H130" s="348"/>
      <c r="I130" s="348"/>
      <c r="J130" s="348"/>
      <c r="K130" s="348"/>
      <c r="L130" s="348"/>
      <c r="M130" s="348"/>
      <c r="N130" s="348"/>
      <c r="O130" s="349"/>
      <c r="P130" s="19" t="s">
        <v>72</v>
      </c>
      <c r="Q130" s="19" t="s">
        <v>88</v>
      </c>
      <c r="R130" s="19" t="s">
        <v>115</v>
      </c>
      <c r="S130" s="19" t="s">
        <v>118</v>
      </c>
      <c r="T130" s="20" t="s">
        <v>55</v>
      </c>
      <c r="U130" s="210" t="s">
        <v>49</v>
      </c>
      <c r="V130" s="210"/>
      <c r="W130" s="411" t="s">
        <v>50</v>
      </c>
      <c r="X130" s="411"/>
      <c r="Y130" s="411"/>
      <c r="Z130" s="411"/>
      <c r="AA130" s="411"/>
      <c r="AC130" s="246"/>
      <c r="AD130" s="77"/>
      <c r="AE130" s="77"/>
      <c r="AF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row>
    <row r="131" spans="1:83" ht="95.25" customHeight="1" x14ac:dyDescent="0.55000000000000004">
      <c r="A131" s="186"/>
      <c r="B131" s="376" t="s">
        <v>407</v>
      </c>
      <c r="C131" s="536"/>
      <c r="D131" s="536"/>
      <c r="E131" s="536"/>
      <c r="F131" s="536"/>
      <c r="G131" s="536"/>
      <c r="H131" s="536"/>
      <c r="I131" s="536"/>
      <c r="J131" s="536"/>
      <c r="K131" s="536"/>
      <c r="L131" s="536"/>
      <c r="M131" s="536"/>
      <c r="N131" s="536"/>
      <c r="O131" s="610"/>
      <c r="P131" s="22"/>
      <c r="Q131" s="22"/>
      <c r="R131" s="22"/>
      <c r="S131" s="22"/>
      <c r="T131" s="14"/>
      <c r="U131" s="814" t="e">
        <f t="shared" ref="U131" si="50">_xlfn.IFS($P131="Si",1,$Q131="Si",0.5,$R131="Si",0,$S131="Si","N/A")</f>
        <v>#N/A</v>
      </c>
      <c r="V131" s="814" t="e">
        <f>_xlfn.IFS($S131="Si",1,$R131="Si",0.5,$R177="Si",0,$S177="Si","N/A")</f>
        <v>#N/A</v>
      </c>
      <c r="W131" s="648"/>
      <c r="X131" s="648"/>
      <c r="Y131" s="648"/>
      <c r="Z131" s="648"/>
      <c r="AA131" s="648"/>
      <c r="AB131" s="1"/>
      <c r="AC131" s="246" t="e">
        <f t="shared" ref="AC131" si="51">_xlfn.IFS($P131="Si",0,$Q131="si",0,$R131="si",0,$S131="si",1)</f>
        <v>#N/A</v>
      </c>
      <c r="AD131" s="1"/>
      <c r="AE131" s="1"/>
      <c r="AF131" s="1"/>
      <c r="AH131" s="1"/>
      <c r="AI131" s="1"/>
      <c r="AJ131" s="1"/>
      <c r="AK131" s="38"/>
      <c r="AL131" s="39"/>
      <c r="AM131" s="39"/>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row>
    <row r="132" spans="1:83" ht="15.75" customHeight="1" x14ac:dyDescent="0.55000000000000004">
      <c r="A132" s="684" t="s">
        <v>51</v>
      </c>
      <c r="B132" s="684"/>
      <c r="C132" s="684"/>
      <c r="D132" s="684"/>
      <c r="E132" s="684"/>
      <c r="F132" s="684"/>
      <c r="G132" s="684"/>
      <c r="H132" s="684"/>
      <c r="I132" s="684"/>
      <c r="J132" s="684"/>
      <c r="K132" s="684"/>
      <c r="L132" s="684"/>
      <c r="M132" s="684"/>
      <c r="N132" s="684"/>
      <c r="O132" s="684"/>
      <c r="P132" s="684"/>
      <c r="Q132" s="684"/>
      <c r="R132" s="684"/>
      <c r="S132" s="684"/>
      <c r="T132" s="684"/>
      <c r="U132" s="816" t="e">
        <f>SUM(U131)</f>
        <v>#N/A</v>
      </c>
      <c r="V132" s="816"/>
      <c r="W132" s="709"/>
      <c r="X132" s="709"/>
      <c r="Y132" s="709"/>
      <c r="Z132" s="709"/>
      <c r="AA132" s="709"/>
      <c r="AB132" s="1"/>
      <c r="AC132" s="105" t="e">
        <f>SUM(AC131)</f>
        <v>#N/A</v>
      </c>
      <c r="AD132" s="1"/>
      <c r="AE132" s="1"/>
      <c r="AF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row>
    <row r="133" spans="1:83" ht="15.75" customHeight="1" x14ac:dyDescent="0.55000000000000004">
      <c r="A133" s="539"/>
      <c r="B133" s="539"/>
      <c r="C133" s="539"/>
      <c r="D133" s="539"/>
      <c r="E133" s="539"/>
      <c r="F133" s="539"/>
      <c r="G133" s="539"/>
      <c r="H133" s="539"/>
      <c r="I133" s="539"/>
      <c r="J133" s="539"/>
      <c r="K133" s="539"/>
      <c r="L133" s="539"/>
      <c r="M133" s="539"/>
      <c r="N133" s="539"/>
      <c r="O133" s="539"/>
      <c r="P133" s="539"/>
      <c r="Q133" s="539"/>
      <c r="R133" s="539"/>
      <c r="S133" s="539"/>
      <c r="T133" s="539"/>
      <c r="U133" s="539"/>
      <c r="V133" s="539"/>
      <c r="W133" s="539"/>
      <c r="X133" s="539"/>
      <c r="Y133" s="539"/>
      <c r="Z133" s="539"/>
      <c r="AA133" s="539"/>
      <c r="AB133" s="1"/>
      <c r="AC133" s="105"/>
      <c r="AD133" s="1"/>
      <c r="AE133" s="1"/>
      <c r="AF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row>
    <row r="134" spans="1:83" ht="36" customHeight="1" x14ac:dyDescent="0.55000000000000004">
      <c r="A134" s="811" t="s">
        <v>105</v>
      </c>
      <c r="B134" s="811"/>
      <c r="C134" s="811"/>
      <c r="D134" s="811"/>
      <c r="E134" s="811"/>
      <c r="F134" s="811"/>
      <c r="G134" s="811"/>
      <c r="H134" s="811"/>
      <c r="I134" s="811"/>
      <c r="J134" s="811"/>
      <c r="K134" s="811"/>
      <c r="L134" s="811"/>
      <c r="M134" s="811"/>
      <c r="N134" s="811"/>
      <c r="O134" s="811"/>
      <c r="P134" s="27" t="s">
        <v>72</v>
      </c>
      <c r="Q134" s="27" t="s">
        <v>88</v>
      </c>
      <c r="R134" s="27" t="s">
        <v>115</v>
      </c>
      <c r="S134" s="27" t="s">
        <v>118</v>
      </c>
      <c r="T134" s="28" t="s">
        <v>55</v>
      </c>
      <c r="U134" s="210" t="s">
        <v>49</v>
      </c>
      <c r="V134" s="210"/>
      <c r="W134" s="411" t="s">
        <v>50</v>
      </c>
      <c r="X134" s="411"/>
      <c r="Y134" s="411"/>
      <c r="Z134" s="411"/>
      <c r="AA134" s="411"/>
      <c r="AC134" s="246"/>
      <c r="AD134" s="77"/>
      <c r="AE134" s="77"/>
      <c r="AF134" s="1"/>
      <c r="AH134" s="1"/>
      <c r="AI134" s="1"/>
      <c r="AJ134" s="1"/>
      <c r="AK134" s="40"/>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row>
    <row r="135" spans="1:83" ht="62.25" customHeight="1" x14ac:dyDescent="0.55000000000000004">
      <c r="A135" s="223"/>
      <c r="B135" s="375" t="s">
        <v>412</v>
      </c>
      <c r="C135" s="375"/>
      <c r="D135" s="375"/>
      <c r="E135" s="375"/>
      <c r="F135" s="375"/>
      <c r="G135" s="375"/>
      <c r="H135" s="375"/>
      <c r="I135" s="375"/>
      <c r="J135" s="375"/>
      <c r="K135" s="375"/>
      <c r="L135" s="375"/>
      <c r="M135" s="375"/>
      <c r="N135" s="375"/>
      <c r="O135" s="375"/>
      <c r="P135" s="22"/>
      <c r="Q135" s="22"/>
      <c r="R135" s="22"/>
      <c r="S135" s="22"/>
      <c r="T135" s="14"/>
      <c r="U135" s="814" t="e">
        <f t="shared" ref="U135" si="52">_xlfn.IFS($P135="Si",1,$Q135="Si",0.5,$R135="Si",0,$S135="Si","N/A")</f>
        <v>#N/A</v>
      </c>
      <c r="V135" s="814" t="e">
        <f>_xlfn.IFS($S135="Si",1,$R135="Si",0.5,$R181="Si",0,$S181="Si","N/A")</f>
        <v>#N/A</v>
      </c>
      <c r="W135" s="648"/>
      <c r="X135" s="648"/>
      <c r="Y135" s="648"/>
      <c r="Z135" s="648"/>
      <c r="AA135" s="648"/>
      <c r="AB135" s="1"/>
      <c r="AC135" s="246" t="e">
        <f t="shared" ref="AC135" si="53">_xlfn.IFS($P135="Si",0,$Q135="si",0,$R135="si",0,$S135="si",1)</f>
        <v>#N/A</v>
      </c>
      <c r="AD135" s="1"/>
      <c r="AE135" s="1"/>
      <c r="AF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row>
    <row r="136" spans="1:83" ht="15.75" customHeight="1" x14ac:dyDescent="0.55000000000000004">
      <c r="A136" s="684" t="s">
        <v>51</v>
      </c>
      <c r="B136" s="684"/>
      <c r="C136" s="684"/>
      <c r="D136" s="684"/>
      <c r="E136" s="684"/>
      <c r="F136" s="684"/>
      <c r="G136" s="684"/>
      <c r="H136" s="684"/>
      <c r="I136" s="684"/>
      <c r="J136" s="684"/>
      <c r="K136" s="684"/>
      <c r="L136" s="684"/>
      <c r="M136" s="684"/>
      <c r="N136" s="684"/>
      <c r="O136" s="684"/>
      <c r="P136" s="684"/>
      <c r="Q136" s="684"/>
      <c r="R136" s="684"/>
      <c r="S136" s="684"/>
      <c r="T136" s="684"/>
      <c r="U136" s="685" t="e">
        <f>SUM(U135)</f>
        <v>#N/A</v>
      </c>
      <c r="V136" s="685"/>
      <c r="W136" s="709"/>
      <c r="X136" s="709"/>
      <c r="Y136" s="709"/>
      <c r="Z136" s="709"/>
      <c r="AA136" s="709"/>
      <c r="AB136" s="1"/>
      <c r="AC136" s="105" t="e">
        <f>SUM(AC135)</f>
        <v>#N/A</v>
      </c>
      <c r="AD136" s="1"/>
      <c r="AE136" s="1"/>
      <c r="AF136" s="1"/>
      <c r="AH136" s="1"/>
      <c r="AI136" s="1"/>
      <c r="AJ136" s="1"/>
      <c r="AK136" s="41"/>
      <c r="AL136" s="41"/>
      <c r="AM136" s="4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row>
    <row r="137" spans="1:83" ht="15.75" customHeight="1" x14ac:dyDescent="0.55000000000000004">
      <c r="A137" s="539"/>
      <c r="B137" s="539"/>
      <c r="C137" s="539"/>
      <c r="D137" s="539"/>
      <c r="E137" s="539"/>
      <c r="F137" s="539"/>
      <c r="G137" s="539"/>
      <c r="H137" s="539"/>
      <c r="I137" s="539"/>
      <c r="J137" s="539"/>
      <c r="K137" s="539"/>
      <c r="L137" s="539"/>
      <c r="M137" s="539"/>
      <c r="N137" s="539"/>
      <c r="O137" s="539"/>
      <c r="P137" s="539"/>
      <c r="Q137" s="539"/>
      <c r="R137" s="539"/>
      <c r="S137" s="539"/>
      <c r="T137" s="539"/>
      <c r="U137" s="539"/>
      <c r="V137" s="539"/>
      <c r="W137" s="539"/>
      <c r="X137" s="539"/>
      <c r="Y137" s="539"/>
      <c r="Z137" s="539"/>
      <c r="AA137" s="539"/>
      <c r="AB137" s="1"/>
      <c r="AC137" s="105"/>
      <c r="AD137" s="1"/>
      <c r="AE137" s="1"/>
      <c r="AF137" s="1"/>
      <c r="AH137" s="1"/>
      <c r="AI137" s="1"/>
      <c r="AJ137" s="1"/>
      <c r="AK137" s="42"/>
      <c r="AL137" s="43"/>
      <c r="AM137" s="43"/>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row>
    <row r="138" spans="1:83" ht="15.75" customHeight="1" x14ac:dyDescent="0.55000000000000004">
      <c r="A138" s="585" t="s">
        <v>106</v>
      </c>
      <c r="B138" s="585"/>
      <c r="C138" s="585"/>
      <c r="D138" s="585"/>
      <c r="E138" s="585"/>
      <c r="F138" s="585"/>
      <c r="G138" s="585"/>
      <c r="H138" s="585"/>
      <c r="I138" s="585"/>
      <c r="J138" s="585"/>
      <c r="K138" s="585"/>
      <c r="L138" s="585"/>
      <c r="M138" s="585"/>
      <c r="N138" s="585"/>
      <c r="O138" s="585"/>
      <c r="P138" s="27" t="s">
        <v>72</v>
      </c>
      <c r="R138" s="27" t="s">
        <v>115</v>
      </c>
      <c r="S138" s="27" t="s">
        <v>118</v>
      </c>
      <c r="T138" s="28" t="s">
        <v>55</v>
      </c>
      <c r="U138" s="210" t="s">
        <v>49</v>
      </c>
      <c r="V138" s="210"/>
      <c r="W138" s="411" t="s">
        <v>50</v>
      </c>
      <c r="X138" s="411"/>
      <c r="Y138" s="411"/>
      <c r="Z138" s="411"/>
      <c r="AA138" s="411"/>
      <c r="AC138" s="246"/>
      <c r="AD138" s="77"/>
      <c r="AE138" s="77"/>
      <c r="AF138" s="1"/>
      <c r="AH138" s="1"/>
      <c r="AI138" s="1"/>
      <c r="AJ138" s="1"/>
      <c r="AK138" s="41"/>
      <c r="AL138" s="41"/>
      <c r="AM138" s="4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row>
    <row r="139" spans="1:83" ht="63.75" customHeight="1" x14ac:dyDescent="0.55000000000000004">
      <c r="A139" s="186"/>
      <c r="B139" s="375" t="s">
        <v>417</v>
      </c>
      <c r="C139" s="375"/>
      <c r="D139" s="375"/>
      <c r="E139" s="375"/>
      <c r="F139" s="375"/>
      <c r="G139" s="375"/>
      <c r="H139" s="375"/>
      <c r="I139" s="375"/>
      <c r="J139" s="375"/>
      <c r="K139" s="375"/>
      <c r="L139" s="375"/>
      <c r="M139" s="375"/>
      <c r="N139" s="375"/>
      <c r="O139" s="375"/>
      <c r="P139" s="22"/>
      <c r="R139" s="22"/>
      <c r="S139" s="22"/>
      <c r="T139" s="14"/>
      <c r="U139" s="814" t="e">
        <f t="shared" ref="U139" si="54">_xlfn.IFS($P139="Si",1,$Q139="Si",0.5,$R139="Si",0,$S139="Si","N/A")</f>
        <v>#N/A</v>
      </c>
      <c r="V139" s="814" t="e">
        <f t="shared" ref="V139" si="55">_xlfn.IFS($S139="Si",1,$R139="Si",0.5,$U185="Si",0,$V185="Si","N/A")</f>
        <v>#N/A</v>
      </c>
      <c r="W139" s="648"/>
      <c r="X139" s="648"/>
      <c r="Y139" s="648"/>
      <c r="Z139" s="648"/>
      <c r="AA139" s="648"/>
      <c r="AB139" s="1"/>
      <c r="AC139" s="246" t="e">
        <f t="shared" ref="AC139" si="56">_xlfn.IFS($P139="Si",0,$Q139="si",0,$R139="si",0,$S139="si",1)</f>
        <v>#N/A</v>
      </c>
      <c r="AD139" s="1"/>
      <c r="AE139" s="1"/>
      <c r="AF139" s="1"/>
      <c r="AG139" s="163"/>
      <c r="AH139" s="163"/>
      <c r="AI139" s="163"/>
      <c r="AJ139" s="163"/>
      <c r="AK139" s="163"/>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row>
    <row r="140" spans="1:83" ht="15.75" customHeight="1" x14ac:dyDescent="0.55000000000000004">
      <c r="A140" s="684" t="s">
        <v>51</v>
      </c>
      <c r="B140" s="684"/>
      <c r="C140" s="684"/>
      <c r="D140" s="684"/>
      <c r="E140" s="684"/>
      <c r="F140" s="684"/>
      <c r="G140" s="684"/>
      <c r="H140" s="684"/>
      <c r="I140" s="684"/>
      <c r="J140" s="684"/>
      <c r="K140" s="684"/>
      <c r="L140" s="684"/>
      <c r="M140" s="684"/>
      <c r="N140" s="684"/>
      <c r="O140" s="684"/>
      <c r="P140" s="684"/>
      <c r="Q140" s="684"/>
      <c r="R140" s="684"/>
      <c r="S140" s="684"/>
      <c r="T140" s="684"/>
      <c r="U140" s="816" t="e">
        <f>SUM(U139)</f>
        <v>#N/A</v>
      </c>
      <c r="V140" s="816"/>
      <c r="W140" s="709"/>
      <c r="X140" s="709"/>
      <c r="Y140" s="709"/>
      <c r="Z140" s="709"/>
      <c r="AA140" s="709"/>
      <c r="AB140" s="1"/>
      <c r="AC140" s="105" t="e">
        <f>SUM(AC139)</f>
        <v>#N/A</v>
      </c>
      <c r="AD140" s="1"/>
      <c r="AE140" s="1"/>
      <c r="AF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row>
    <row r="141" spans="1:83" ht="15.75" customHeight="1" x14ac:dyDescent="0.55000000000000004">
      <c r="A141" s="539"/>
      <c r="B141" s="539"/>
      <c r="C141" s="539"/>
      <c r="D141" s="539"/>
      <c r="E141" s="539"/>
      <c r="F141" s="539"/>
      <c r="G141" s="539"/>
      <c r="H141" s="539"/>
      <c r="I141" s="539"/>
      <c r="J141" s="539"/>
      <c r="K141" s="539"/>
      <c r="L141" s="539"/>
      <c r="M141" s="539"/>
      <c r="N141" s="539"/>
      <c r="O141" s="539"/>
      <c r="P141" s="539"/>
      <c r="Q141" s="539"/>
      <c r="R141" s="539"/>
      <c r="S141" s="539"/>
      <c r="T141" s="539"/>
      <c r="U141" s="539"/>
      <c r="V141" s="539"/>
      <c r="W141" s="539"/>
      <c r="X141" s="539"/>
      <c r="Y141" s="539"/>
      <c r="Z141" s="539"/>
      <c r="AA141" s="539"/>
      <c r="AB141" s="1"/>
      <c r="AC141" s="104"/>
      <c r="AD141" s="1"/>
      <c r="AE141" s="1"/>
      <c r="AF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row>
    <row r="142" spans="1:83" ht="15.75" customHeight="1" x14ac:dyDescent="0.55000000000000004">
      <c r="A142" s="518" t="s">
        <v>107</v>
      </c>
      <c r="B142" s="518"/>
      <c r="C142" s="518"/>
      <c r="D142" s="518"/>
      <c r="E142" s="518"/>
      <c r="F142" s="518"/>
      <c r="G142" s="518"/>
      <c r="H142" s="518"/>
      <c r="I142" s="518"/>
      <c r="J142" s="518"/>
      <c r="K142" s="518"/>
      <c r="L142" s="518"/>
      <c r="M142" s="518"/>
      <c r="N142" s="518"/>
      <c r="O142" s="518"/>
      <c r="P142" s="29" t="s">
        <v>72</v>
      </c>
      <c r="R142" s="29" t="s">
        <v>115</v>
      </c>
      <c r="S142" s="29" t="s">
        <v>118</v>
      </c>
      <c r="T142" s="30" t="s">
        <v>55</v>
      </c>
      <c r="U142" s="228" t="s">
        <v>49</v>
      </c>
      <c r="V142" s="228"/>
      <c r="W142" s="818" t="s">
        <v>50</v>
      </c>
      <c r="X142" s="818"/>
      <c r="Y142" s="818"/>
      <c r="Z142" s="818"/>
      <c r="AA142" s="818"/>
      <c r="AC142" s="246"/>
      <c r="AD142" s="77"/>
      <c r="AE142" s="7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row>
    <row r="143" spans="1:83" ht="54" customHeight="1" x14ac:dyDescent="0.55000000000000004">
      <c r="A143" s="26"/>
      <c r="B143" s="375" t="s">
        <v>422</v>
      </c>
      <c r="C143" s="375"/>
      <c r="D143" s="375"/>
      <c r="E143" s="375"/>
      <c r="F143" s="375"/>
      <c r="G143" s="375"/>
      <c r="H143" s="375"/>
      <c r="I143" s="375"/>
      <c r="J143" s="375"/>
      <c r="K143" s="375"/>
      <c r="L143" s="375"/>
      <c r="M143" s="375"/>
      <c r="N143" s="375"/>
      <c r="O143" s="375"/>
      <c r="P143" s="22"/>
      <c r="R143" s="22"/>
      <c r="S143" s="22"/>
      <c r="T143" s="14"/>
      <c r="U143" s="814" t="e">
        <f t="shared" ref="U143" si="57">_xlfn.IFS($P143="Si",1,$Q143="Si",0.5,$R143="Si",0,$S143="Si","N/A")</f>
        <v>#N/A</v>
      </c>
      <c r="V143" s="814" t="e">
        <f t="shared" ref="V143" si="58">_xlfn.IFS($S143="Si",1,$R143="Si",0.5,$U189="Si",0,$V189="Si","N/A")</f>
        <v>#N/A</v>
      </c>
      <c r="W143" s="648"/>
      <c r="X143" s="648"/>
      <c r="Y143" s="648"/>
      <c r="Z143" s="648"/>
      <c r="AA143" s="648"/>
      <c r="AB143" s="1"/>
      <c r="AC143" s="246" t="e">
        <f t="shared" ref="AC143" si="59">_xlfn.IFS($P143="Si",0,$Q143="si",0,$R143="si",0,$S143="si",1)</f>
        <v>#N/A</v>
      </c>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row>
    <row r="144" spans="1:83" ht="15.75" customHeight="1" x14ac:dyDescent="0.55000000000000004">
      <c r="A144" s="684" t="s">
        <v>51</v>
      </c>
      <c r="B144" s="684"/>
      <c r="C144" s="684"/>
      <c r="D144" s="684"/>
      <c r="E144" s="684"/>
      <c r="F144" s="684"/>
      <c r="G144" s="684"/>
      <c r="H144" s="684"/>
      <c r="I144" s="684"/>
      <c r="J144" s="684"/>
      <c r="K144" s="684"/>
      <c r="L144" s="684"/>
      <c r="M144" s="684"/>
      <c r="N144" s="684"/>
      <c r="O144" s="684"/>
      <c r="P144" s="684"/>
      <c r="Q144" s="684"/>
      <c r="R144" s="684"/>
      <c r="S144" s="684"/>
      <c r="T144" s="684"/>
      <c r="U144" s="685" t="e">
        <f>SUM(U143)</f>
        <v>#N/A</v>
      </c>
      <c r="V144" s="685"/>
      <c r="W144" s="709"/>
      <c r="X144" s="709"/>
      <c r="Y144" s="709"/>
      <c r="Z144" s="709"/>
      <c r="AA144" s="709"/>
      <c r="AB144" s="7"/>
      <c r="AC144" s="105" t="e">
        <f>SUM(AC143)</f>
        <v>#N/A</v>
      </c>
      <c r="AD144" s="7"/>
      <c r="AE144" s="7"/>
      <c r="AF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row>
    <row r="145" spans="1:83" ht="15.75" customHeight="1" x14ac:dyDescent="0.55000000000000004">
      <c r="A145" s="485"/>
      <c r="B145" s="550"/>
      <c r="C145" s="550"/>
      <c r="D145" s="550"/>
      <c r="E145" s="550"/>
      <c r="F145" s="550"/>
      <c r="G145" s="550"/>
      <c r="H145" s="550"/>
      <c r="I145" s="550"/>
      <c r="J145" s="550"/>
      <c r="K145" s="550"/>
      <c r="L145" s="550"/>
      <c r="M145" s="550"/>
      <c r="N145" s="550"/>
      <c r="O145" s="550"/>
      <c r="P145" s="550"/>
      <c r="Q145" s="550"/>
      <c r="R145" s="550"/>
      <c r="S145" s="550"/>
      <c r="T145" s="550"/>
      <c r="U145" s="550"/>
      <c r="V145" s="550"/>
      <c r="W145" s="550"/>
      <c r="X145" s="550"/>
      <c r="Y145" s="550"/>
      <c r="Z145" s="550"/>
      <c r="AA145" s="551"/>
      <c r="AC145" s="105"/>
      <c r="AF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row>
    <row r="146" spans="1:83" ht="15.75" customHeight="1" x14ac:dyDescent="0.55000000000000004">
      <c r="A146" s="188" t="s">
        <v>108</v>
      </c>
      <c r="B146" s="188"/>
      <c r="C146" s="188"/>
      <c r="D146" s="188"/>
      <c r="E146" s="188"/>
      <c r="F146" s="188"/>
      <c r="G146" s="188"/>
      <c r="H146" s="188"/>
      <c r="I146" s="188"/>
      <c r="J146" s="188"/>
      <c r="K146" s="188"/>
      <c r="L146" s="188"/>
      <c r="M146" s="188"/>
      <c r="N146" s="188"/>
      <c r="O146" s="188"/>
      <c r="P146" s="31" t="s">
        <v>72</v>
      </c>
      <c r="R146" s="31" t="s">
        <v>115</v>
      </c>
      <c r="S146" s="31" t="s">
        <v>118</v>
      </c>
      <c r="T146" s="32" t="s">
        <v>55</v>
      </c>
      <c r="U146" s="229" t="s">
        <v>49</v>
      </c>
      <c r="V146" s="229"/>
      <c r="W146" s="817" t="s">
        <v>50</v>
      </c>
      <c r="X146" s="817"/>
      <c r="Y146" s="817"/>
      <c r="Z146" s="817"/>
      <c r="AA146" s="817"/>
      <c r="AC146" s="246"/>
      <c r="AD146" s="77"/>
      <c r="AE146" s="77"/>
      <c r="AF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row>
    <row r="147" spans="1:83" ht="50.25" customHeight="1" x14ac:dyDescent="0.55000000000000004">
      <c r="A147" s="194"/>
      <c r="B147" s="375" t="s">
        <v>426</v>
      </c>
      <c r="C147" s="375"/>
      <c r="D147" s="375"/>
      <c r="E147" s="375"/>
      <c r="F147" s="375"/>
      <c r="G147" s="375"/>
      <c r="H147" s="375"/>
      <c r="I147" s="375"/>
      <c r="J147" s="375"/>
      <c r="K147" s="375"/>
      <c r="L147" s="375"/>
      <c r="M147" s="375"/>
      <c r="N147" s="375"/>
      <c r="O147" s="375"/>
      <c r="P147" s="22"/>
      <c r="R147" s="22"/>
      <c r="S147" s="22"/>
      <c r="T147" s="14"/>
      <c r="U147" s="814" t="e">
        <f t="shared" ref="U147" si="60">_xlfn.IFS($P147="Si",1,$Q147="Si",0.5,$R147="Si",0,$S147="Si","N/A")</f>
        <v>#N/A</v>
      </c>
      <c r="V147" s="814" t="e">
        <f t="shared" ref="V147" si="61">_xlfn.IFS($S147="Si",1,$R147="Si",0.5,$U193="Si",0,$V193="Si","N/A")</f>
        <v>#N/A</v>
      </c>
      <c r="W147" s="648"/>
      <c r="X147" s="648"/>
      <c r="Y147" s="648"/>
      <c r="Z147" s="648"/>
      <c r="AA147" s="648"/>
      <c r="AB147" s="1"/>
      <c r="AC147" s="246" t="e">
        <f t="shared" ref="AC147" si="62">_xlfn.IFS($P147="Si",0,$Q147="si",0,$R147="si",0,$S147="si",1)</f>
        <v>#N/A</v>
      </c>
      <c r="AD147" s="1"/>
      <c r="AE147" s="1"/>
      <c r="AF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row>
    <row r="148" spans="1:83" ht="15.75" customHeight="1" x14ac:dyDescent="0.55000000000000004">
      <c r="A148" s="684" t="s">
        <v>51</v>
      </c>
      <c r="B148" s="684"/>
      <c r="C148" s="684"/>
      <c r="D148" s="684"/>
      <c r="E148" s="684"/>
      <c r="F148" s="684"/>
      <c r="G148" s="684"/>
      <c r="H148" s="684"/>
      <c r="I148" s="684"/>
      <c r="J148" s="684"/>
      <c r="K148" s="684"/>
      <c r="L148" s="684"/>
      <c r="M148" s="684"/>
      <c r="N148" s="684"/>
      <c r="O148" s="684"/>
      <c r="P148" s="684"/>
      <c r="Q148" s="684"/>
      <c r="R148" s="684"/>
      <c r="S148" s="684"/>
      <c r="T148" s="684"/>
      <c r="U148" s="685" t="e">
        <f>SUM(U147)</f>
        <v>#N/A</v>
      </c>
      <c r="V148" s="685"/>
      <c r="W148" s="709"/>
      <c r="X148" s="709"/>
      <c r="Y148" s="709"/>
      <c r="Z148" s="709"/>
      <c r="AA148" s="709"/>
      <c r="AB148" s="1"/>
      <c r="AC148" s="105" t="e">
        <f>SUM(AC147)</f>
        <v>#N/A</v>
      </c>
      <c r="AD148" s="1"/>
      <c r="AE148" s="1"/>
      <c r="AF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row>
    <row r="149" spans="1:83" ht="15.75" customHeight="1" x14ac:dyDescent="0.55000000000000004">
      <c r="A149" s="216"/>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76"/>
      <c r="AC149" s="105"/>
      <c r="AF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row>
    <row r="150" spans="1:83" ht="15.75" customHeight="1" x14ac:dyDescent="0.55000000000000004">
      <c r="A150" s="629" t="s">
        <v>109</v>
      </c>
      <c r="B150" s="629"/>
      <c r="C150" s="629"/>
      <c r="D150" s="629"/>
      <c r="E150" s="629"/>
      <c r="F150" s="629"/>
      <c r="G150" s="629"/>
      <c r="H150" s="629"/>
      <c r="I150" s="629"/>
      <c r="J150" s="629"/>
      <c r="K150" s="629"/>
      <c r="L150" s="629"/>
      <c r="M150" s="629"/>
      <c r="N150" s="629"/>
      <c r="O150" s="629"/>
      <c r="P150" s="629"/>
      <c r="Q150" s="629"/>
      <c r="R150" s="629"/>
      <c r="S150" s="629"/>
      <c r="T150" s="629"/>
      <c r="U150" s="629"/>
      <c r="V150" s="629"/>
      <c r="W150" s="629"/>
      <c r="X150" s="629"/>
      <c r="Y150" s="629"/>
      <c r="Z150" s="629"/>
      <c r="AA150" s="629"/>
      <c r="AB150" s="15"/>
      <c r="AC150" s="105"/>
      <c r="AD150" s="15"/>
      <c r="AE150" s="15"/>
      <c r="AF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row>
    <row r="151" spans="1:83" ht="15.75" customHeight="1" x14ac:dyDescent="0.55000000000000004">
      <c r="A151" s="518" t="s">
        <v>110</v>
      </c>
      <c r="B151" s="518"/>
      <c r="C151" s="518"/>
      <c r="D151" s="518"/>
      <c r="E151" s="518"/>
      <c r="F151" s="518"/>
      <c r="G151" s="518"/>
      <c r="H151" s="518"/>
      <c r="I151" s="518"/>
      <c r="J151" s="518"/>
      <c r="K151" s="518"/>
      <c r="L151" s="518"/>
      <c r="M151" s="518"/>
      <c r="N151" s="518"/>
      <c r="O151" s="518"/>
      <c r="P151" s="518"/>
      <c r="Q151" s="518"/>
      <c r="R151" s="518"/>
      <c r="S151" s="518"/>
      <c r="T151" s="518"/>
      <c r="U151" s="518"/>
      <c r="V151" s="518"/>
      <c r="W151" s="518"/>
      <c r="X151" s="518"/>
      <c r="Y151" s="518"/>
      <c r="Z151" s="518"/>
      <c r="AA151" s="518"/>
      <c r="AB151" s="198"/>
      <c r="AC151" s="104"/>
      <c r="AD151" s="198"/>
      <c r="AE151" s="198"/>
      <c r="AF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row>
    <row r="152" spans="1:83" ht="15.75" customHeight="1" x14ac:dyDescent="0.55000000000000004">
      <c r="A152" s="347" t="s">
        <v>111</v>
      </c>
      <c r="B152" s="348"/>
      <c r="C152" s="348"/>
      <c r="D152" s="348"/>
      <c r="E152" s="348"/>
      <c r="F152" s="348"/>
      <c r="G152" s="348"/>
      <c r="H152" s="348"/>
      <c r="I152" s="348"/>
      <c r="J152" s="348"/>
      <c r="K152" s="348"/>
      <c r="L152" s="348"/>
      <c r="M152" s="348"/>
      <c r="N152" s="348"/>
      <c r="O152" s="349"/>
      <c r="P152" s="27" t="s">
        <v>72</v>
      </c>
      <c r="Q152" s="27" t="s">
        <v>88</v>
      </c>
      <c r="R152" s="27" t="s">
        <v>115</v>
      </c>
      <c r="S152" s="27" t="s">
        <v>118</v>
      </c>
      <c r="T152" s="28" t="s">
        <v>55</v>
      </c>
      <c r="U152" s="210" t="s">
        <v>49</v>
      </c>
      <c r="V152" s="210"/>
      <c r="W152" s="411" t="s">
        <v>50</v>
      </c>
      <c r="X152" s="411"/>
      <c r="Y152" s="411"/>
      <c r="Z152" s="411"/>
      <c r="AA152" s="411"/>
      <c r="AC152" s="246"/>
      <c r="AD152" s="77"/>
      <c r="AE152" s="7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row>
    <row r="153" spans="1:83" ht="48" customHeight="1" x14ac:dyDescent="0.55000000000000004">
      <c r="A153" s="26"/>
      <c r="B153" s="375" t="s">
        <v>431</v>
      </c>
      <c r="C153" s="375"/>
      <c r="D153" s="375"/>
      <c r="E153" s="375"/>
      <c r="F153" s="375"/>
      <c r="G153" s="375"/>
      <c r="H153" s="375"/>
      <c r="I153" s="375"/>
      <c r="J153" s="375"/>
      <c r="K153" s="375"/>
      <c r="L153" s="375"/>
      <c r="M153" s="375"/>
      <c r="N153" s="375"/>
      <c r="O153" s="375"/>
      <c r="P153" s="22"/>
      <c r="Q153" s="22"/>
      <c r="R153" s="22"/>
      <c r="S153" s="22"/>
      <c r="T153" s="14"/>
      <c r="U153" s="814" t="e">
        <f t="shared" ref="U153" si="63">_xlfn.IFS($P153="Si",1,$Q153="Si",0.5,$R153="Si",0,$S153="Si","N/A")</f>
        <v>#N/A</v>
      </c>
      <c r="V153" s="814" t="e">
        <f>_xlfn.IFS($S153="Si",1,$R153="Si",0.5,$S199="Si",0,$T199="Si","N/A")</f>
        <v>#N/A</v>
      </c>
      <c r="W153" s="648"/>
      <c r="X153" s="648"/>
      <c r="Y153" s="648"/>
      <c r="Z153" s="648"/>
      <c r="AA153" s="648"/>
      <c r="AC153" s="246" t="e">
        <f t="shared" ref="AC153" si="64">_xlfn.IFS($P153="Si",0,$Q153="si",0,$R153="si",0,$S153="si",1)</f>
        <v>#N/A</v>
      </c>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row>
    <row r="154" spans="1:83" ht="15.75" customHeight="1" x14ac:dyDescent="0.55000000000000004">
      <c r="A154" s="236"/>
      <c r="B154" s="684" t="s">
        <v>51</v>
      </c>
      <c r="C154" s="684"/>
      <c r="D154" s="684"/>
      <c r="E154" s="684"/>
      <c r="F154" s="684"/>
      <c r="G154" s="684"/>
      <c r="H154" s="684"/>
      <c r="I154" s="684"/>
      <c r="J154" s="684"/>
      <c r="K154" s="684"/>
      <c r="L154" s="684"/>
      <c r="M154" s="684"/>
      <c r="N154" s="684"/>
      <c r="O154" s="684"/>
      <c r="P154" s="684"/>
      <c r="Q154" s="684"/>
      <c r="R154" s="684"/>
      <c r="S154" s="684"/>
      <c r="T154" s="684"/>
      <c r="U154" s="819" t="e">
        <f>SUM(U153)</f>
        <v>#N/A</v>
      </c>
      <c r="V154" s="819"/>
      <c r="W154" s="709"/>
      <c r="X154" s="709"/>
      <c r="Y154" s="709"/>
      <c r="Z154" s="709"/>
      <c r="AA154" s="709"/>
      <c r="AB154" s="1"/>
      <c r="AC154" s="104" t="e">
        <f>SUM(AC153)</f>
        <v>#N/A</v>
      </c>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row>
    <row r="155" spans="1:83" ht="15.75" customHeight="1" x14ac:dyDescent="0.55000000000000004">
      <c r="A155" s="539"/>
      <c r="B155" s="539"/>
      <c r="C155" s="539"/>
      <c r="D155" s="539"/>
      <c r="E155" s="539"/>
      <c r="F155" s="539"/>
      <c r="G155" s="539"/>
      <c r="H155" s="539"/>
      <c r="I155" s="539"/>
      <c r="J155" s="539"/>
      <c r="K155" s="539"/>
      <c r="L155" s="539"/>
      <c r="M155" s="539"/>
      <c r="N155" s="539"/>
      <c r="O155" s="539"/>
      <c r="P155" s="539"/>
      <c r="Q155" s="539"/>
      <c r="R155" s="539"/>
      <c r="S155" s="539"/>
      <c r="T155" s="539"/>
      <c r="U155" s="539"/>
      <c r="V155" s="539"/>
      <c r="W155" s="539"/>
      <c r="X155" s="539"/>
      <c r="Y155" s="539"/>
      <c r="Z155" s="539"/>
      <c r="AA155" s="539"/>
      <c r="AB155" s="1"/>
      <c r="AC155" s="104"/>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row>
    <row r="156" spans="1:83" ht="17.7" x14ac:dyDescent="0.55000000000000004">
      <c r="A156" s="585" t="s">
        <v>446</v>
      </c>
      <c r="B156" s="585"/>
      <c r="C156" s="585"/>
      <c r="D156" s="585"/>
      <c r="E156" s="585"/>
      <c r="F156" s="585"/>
      <c r="G156" s="585"/>
      <c r="H156" s="585"/>
      <c r="I156" s="585"/>
      <c r="J156" s="585"/>
      <c r="K156" s="585"/>
      <c r="L156" s="585"/>
      <c r="M156" s="585"/>
      <c r="N156" s="585"/>
      <c r="O156" s="585"/>
      <c r="P156" s="27" t="s">
        <v>72</v>
      </c>
      <c r="Q156" s="27" t="s">
        <v>88</v>
      </c>
      <c r="R156" s="27" t="s">
        <v>115</v>
      </c>
      <c r="S156" s="27" t="s">
        <v>118</v>
      </c>
      <c r="T156" s="28" t="s">
        <v>55</v>
      </c>
      <c r="U156" s="210" t="s">
        <v>49</v>
      </c>
      <c r="V156" s="210"/>
      <c r="W156" s="210" t="s">
        <v>50</v>
      </c>
      <c r="X156" s="210"/>
      <c r="Y156" s="210"/>
      <c r="Z156" s="210"/>
      <c r="AA156" s="210"/>
      <c r="AC156" s="246"/>
      <c r="AE156" s="7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row>
    <row r="157" spans="1:83" ht="49" customHeight="1" x14ac:dyDescent="0.55000000000000004">
      <c r="A157" s="186"/>
      <c r="B157" s="375" t="s">
        <v>443</v>
      </c>
      <c r="C157" s="375"/>
      <c r="D157" s="375"/>
      <c r="E157" s="375"/>
      <c r="F157" s="375"/>
      <c r="G157" s="375"/>
      <c r="H157" s="375"/>
      <c r="I157" s="375"/>
      <c r="J157" s="375"/>
      <c r="K157" s="375"/>
      <c r="L157" s="375"/>
      <c r="M157" s="375"/>
      <c r="N157" s="375"/>
      <c r="O157" s="375"/>
      <c r="P157" s="22"/>
      <c r="Q157" s="22"/>
      <c r="R157" s="22"/>
      <c r="S157" s="22"/>
      <c r="T157" s="14"/>
      <c r="U157" s="814" t="e">
        <f t="shared" ref="U157" si="65">_xlfn.IFS($P157="Si",1,$Q157="Si",0.5,$R157="Si",0,$S157="Si","N/A")</f>
        <v>#N/A</v>
      </c>
      <c r="V157" s="814" t="e">
        <f>_xlfn.IFS($S157="Si",1,$R157="Si",0.5,$P203="Si",0,$Q203="Si","N/A")</f>
        <v>#N/A</v>
      </c>
      <c r="W157" s="648"/>
      <c r="X157" s="648"/>
      <c r="Y157" s="648"/>
      <c r="Z157" s="648"/>
      <c r="AA157" s="648"/>
      <c r="AB157" s="1"/>
      <c r="AC157" s="246" t="e">
        <f t="shared" ref="AC157" si="66">_xlfn.IFS($P157="Si",0,$Q157="si",0,$R157="si",0,$S157="si",1)</f>
        <v>#N/A</v>
      </c>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row>
    <row r="158" spans="1:83" ht="18.75" customHeight="1" x14ac:dyDescent="0.55000000000000004">
      <c r="A158" s="684" t="s">
        <v>51</v>
      </c>
      <c r="B158" s="684"/>
      <c r="C158" s="684"/>
      <c r="D158" s="684"/>
      <c r="E158" s="684"/>
      <c r="F158" s="684"/>
      <c r="G158" s="684"/>
      <c r="H158" s="684"/>
      <c r="I158" s="684"/>
      <c r="J158" s="684"/>
      <c r="K158" s="684"/>
      <c r="L158" s="684"/>
      <c r="M158" s="684"/>
      <c r="N158" s="684"/>
      <c r="O158" s="684"/>
      <c r="P158" s="684"/>
      <c r="Q158" s="684"/>
      <c r="R158" s="684"/>
      <c r="S158" s="684"/>
      <c r="T158" s="684"/>
      <c r="U158" s="685" t="e">
        <f>SUM(U157)</f>
        <v>#N/A</v>
      </c>
      <c r="V158" s="685"/>
      <c r="W158" s="709"/>
      <c r="X158" s="709"/>
      <c r="Y158" s="709"/>
      <c r="Z158" s="709"/>
      <c r="AA158" s="709"/>
      <c r="AB158" s="1"/>
      <c r="AC158" s="104" t="e">
        <f>SUM(AC157)</f>
        <v>#N/A</v>
      </c>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row>
    <row r="159" spans="1:83" ht="15.75" customHeight="1" x14ac:dyDescent="0.55000000000000004">
      <c r="A159" s="539"/>
      <c r="B159" s="539"/>
      <c r="C159" s="539"/>
      <c r="D159" s="539"/>
      <c r="E159" s="539"/>
      <c r="F159" s="539"/>
      <c r="G159" s="539"/>
      <c r="H159" s="539"/>
      <c r="I159" s="539"/>
      <c r="J159" s="539"/>
      <c r="K159" s="539"/>
      <c r="L159" s="539"/>
      <c r="M159" s="539"/>
      <c r="N159" s="539"/>
      <c r="O159" s="539"/>
      <c r="P159" s="539"/>
      <c r="Q159" s="539"/>
      <c r="R159" s="539"/>
      <c r="S159" s="539"/>
      <c r="T159" s="539"/>
      <c r="U159" s="539"/>
      <c r="V159" s="539"/>
      <c r="W159" s="539"/>
      <c r="X159" s="539"/>
      <c r="Y159" s="539"/>
      <c r="Z159" s="539"/>
      <c r="AA159" s="539"/>
      <c r="AB159" s="1"/>
      <c r="AC159" s="104"/>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row>
    <row r="160" spans="1:83" ht="39.75" customHeight="1" x14ac:dyDescent="0.55000000000000004">
      <c r="A160" s="811" t="s">
        <v>448</v>
      </c>
      <c r="B160" s="811"/>
      <c r="C160" s="811"/>
      <c r="D160" s="811"/>
      <c r="E160" s="811"/>
      <c r="F160" s="811"/>
      <c r="G160" s="811"/>
      <c r="H160" s="811"/>
      <c r="I160" s="811"/>
      <c r="J160" s="811"/>
      <c r="K160" s="811"/>
      <c r="L160" s="811"/>
      <c r="M160" s="811"/>
      <c r="N160" s="811"/>
      <c r="O160" s="811"/>
      <c r="P160" s="27" t="s">
        <v>72</v>
      </c>
      <c r="Q160" s="27" t="s">
        <v>88</v>
      </c>
      <c r="R160" s="27" t="s">
        <v>115</v>
      </c>
      <c r="S160" s="27" t="s">
        <v>118</v>
      </c>
      <c r="T160" s="28" t="s">
        <v>55</v>
      </c>
      <c r="U160" s="210" t="s">
        <v>49</v>
      </c>
      <c r="V160" s="210"/>
      <c r="W160" s="210" t="s">
        <v>50</v>
      </c>
      <c r="X160" s="210"/>
      <c r="Y160" s="210"/>
      <c r="Z160" s="210"/>
      <c r="AA160" s="210"/>
      <c r="AC160" s="246"/>
      <c r="AE160" s="7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row>
    <row r="161" spans="1:83" ht="61.5" customHeight="1" x14ac:dyDescent="0.55000000000000004">
      <c r="A161" s="237"/>
      <c r="B161" s="375" t="s">
        <v>449</v>
      </c>
      <c r="C161" s="375"/>
      <c r="D161" s="375"/>
      <c r="E161" s="375"/>
      <c r="F161" s="375"/>
      <c r="G161" s="375"/>
      <c r="H161" s="375"/>
      <c r="I161" s="375"/>
      <c r="J161" s="375"/>
      <c r="K161" s="375"/>
      <c r="L161" s="375"/>
      <c r="M161" s="375"/>
      <c r="N161" s="375"/>
      <c r="O161" s="375"/>
      <c r="P161" s="22"/>
      <c r="Q161" s="22"/>
      <c r="R161" s="22"/>
      <c r="S161" s="22"/>
      <c r="T161" s="14"/>
      <c r="U161" s="814" t="e">
        <f t="shared" ref="U161" si="67">_xlfn.IFS($P161="Si",1,$Q161="Si",0.5,$R161="Si",0,$S161="Si","N/A")</f>
        <v>#N/A</v>
      </c>
      <c r="V161" s="814" t="e">
        <f>_xlfn.IFS($S161="Si",1,$R161="Si",0.5,$Q207="Si",0,$R207="Si","N/A")</f>
        <v>#N/A</v>
      </c>
      <c r="W161" s="648"/>
      <c r="X161" s="648"/>
      <c r="Y161" s="648"/>
      <c r="Z161" s="648"/>
      <c r="AA161" s="648"/>
      <c r="AB161" s="1"/>
      <c r="AC161" s="246" t="e">
        <f t="shared" ref="AC161" si="68">_xlfn.IFS($P161="Si",0,$Q161="si",0,$R161="si",0,$S161="si",1)</f>
        <v>#N/A</v>
      </c>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row>
    <row r="162" spans="1:83" ht="15" customHeight="1" x14ac:dyDescent="0.55000000000000004">
      <c r="A162" s="684" t="s">
        <v>51</v>
      </c>
      <c r="B162" s="684"/>
      <c r="C162" s="684"/>
      <c r="D162" s="684"/>
      <c r="E162" s="684"/>
      <c r="F162" s="684"/>
      <c r="G162" s="684"/>
      <c r="H162" s="684"/>
      <c r="I162" s="684"/>
      <c r="J162" s="684"/>
      <c r="K162" s="684"/>
      <c r="L162" s="684"/>
      <c r="M162" s="684"/>
      <c r="N162" s="684"/>
      <c r="O162" s="684"/>
      <c r="P162" s="684"/>
      <c r="Q162" s="684"/>
      <c r="R162" s="684"/>
      <c r="S162" s="684"/>
      <c r="T162" s="684"/>
      <c r="U162" s="685" t="e">
        <f>SUM(U161)</f>
        <v>#N/A</v>
      </c>
      <c r="V162" s="685"/>
      <c r="W162" s="709"/>
      <c r="X162" s="709"/>
      <c r="Y162" s="709"/>
      <c r="Z162" s="709"/>
      <c r="AA162" s="709"/>
      <c r="AB162" s="1"/>
      <c r="AC162" s="104" t="e">
        <f>SUM(AC161)</f>
        <v>#N/A</v>
      </c>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row>
    <row r="163" spans="1:83" ht="15" customHeight="1" x14ac:dyDescent="0.55000000000000004">
      <c r="A163" s="485"/>
      <c r="B163" s="550"/>
      <c r="C163" s="550"/>
      <c r="D163" s="550"/>
      <c r="E163" s="550"/>
      <c r="F163" s="550"/>
      <c r="G163" s="550"/>
      <c r="H163" s="550"/>
      <c r="I163" s="550"/>
      <c r="J163" s="550"/>
      <c r="K163" s="550"/>
      <c r="L163" s="550"/>
      <c r="M163" s="550"/>
      <c r="N163" s="550"/>
      <c r="O163" s="550"/>
      <c r="P163" s="550"/>
      <c r="Q163" s="550"/>
      <c r="R163" s="550"/>
      <c r="S163" s="550"/>
      <c r="T163" s="550"/>
      <c r="U163" s="550"/>
      <c r="V163" s="550"/>
      <c r="W163" s="550"/>
      <c r="X163" s="550"/>
      <c r="Y163" s="550"/>
      <c r="Z163" s="550"/>
      <c r="AA163" s="551"/>
      <c r="AC163" s="104"/>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row>
    <row r="164" spans="1:83" ht="17.399999999999999" x14ac:dyDescent="0.55000000000000004">
      <c r="A164" s="518" t="s">
        <v>122</v>
      </c>
      <c r="B164" s="518"/>
      <c r="C164" s="518"/>
      <c r="D164" s="518"/>
      <c r="E164" s="518"/>
      <c r="F164" s="518"/>
      <c r="G164" s="518"/>
      <c r="H164" s="518"/>
      <c r="I164" s="518"/>
      <c r="J164" s="518"/>
      <c r="K164" s="518"/>
      <c r="L164" s="518"/>
      <c r="M164" s="518"/>
      <c r="N164" s="518"/>
      <c r="O164" s="518"/>
      <c r="P164" s="518"/>
      <c r="Q164" s="518"/>
      <c r="R164" s="518"/>
      <c r="S164" s="518"/>
      <c r="T164" s="518"/>
      <c r="U164" s="518"/>
      <c r="V164" s="518"/>
      <c r="W164" s="518"/>
      <c r="X164" s="518"/>
      <c r="Y164" s="518"/>
      <c r="Z164" s="518"/>
      <c r="AA164" s="518"/>
      <c r="AB164" s="1"/>
      <c r="AC164" s="104"/>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row>
    <row r="165" spans="1:83" ht="42.75" customHeight="1" x14ac:dyDescent="0.55000000000000004">
      <c r="A165" s="820" t="s">
        <v>452</v>
      </c>
      <c r="B165" s="820"/>
      <c r="C165" s="820"/>
      <c r="D165" s="820"/>
      <c r="E165" s="820"/>
      <c r="F165" s="820"/>
      <c r="G165" s="820"/>
      <c r="H165" s="820"/>
      <c r="I165" s="820"/>
      <c r="J165" s="820"/>
      <c r="K165" s="820"/>
      <c r="L165" s="820"/>
      <c r="M165" s="820"/>
      <c r="N165" s="820"/>
      <c r="O165" s="820"/>
      <c r="P165" s="27" t="s">
        <v>72</v>
      </c>
      <c r="Q165" s="27" t="s">
        <v>88</v>
      </c>
      <c r="R165" s="27" t="s">
        <v>115</v>
      </c>
      <c r="S165" s="27" t="s">
        <v>118</v>
      </c>
      <c r="T165" s="28" t="s">
        <v>55</v>
      </c>
      <c r="U165" s="210" t="s">
        <v>49</v>
      </c>
      <c r="V165" s="210"/>
      <c r="W165" s="210" t="s">
        <v>50</v>
      </c>
      <c r="X165" s="210"/>
      <c r="Y165" s="210"/>
      <c r="Z165" s="210"/>
      <c r="AA165" s="210"/>
      <c r="AC165" s="246"/>
      <c r="AE165" s="7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row>
    <row r="166" spans="1:83" ht="63.75" customHeight="1" x14ac:dyDescent="0.55000000000000004">
      <c r="A166" s="223"/>
      <c r="B166" s="375" t="s">
        <v>453</v>
      </c>
      <c r="C166" s="375"/>
      <c r="D166" s="375"/>
      <c r="E166" s="375"/>
      <c r="F166" s="375"/>
      <c r="G166" s="375"/>
      <c r="H166" s="375"/>
      <c r="I166" s="375"/>
      <c r="J166" s="375"/>
      <c r="K166" s="375"/>
      <c r="L166" s="375"/>
      <c r="M166" s="375"/>
      <c r="N166" s="375"/>
      <c r="O166" s="375"/>
      <c r="P166" s="22"/>
      <c r="Q166" s="22"/>
      <c r="R166" s="22"/>
      <c r="S166" s="22"/>
      <c r="T166" s="14"/>
      <c r="U166" s="814" t="e">
        <f t="shared" ref="U166" si="69">_xlfn.IFS($P166="Si",1,$Q166="Si",0.5,$R166="Si",0,$S166="Si","N/A")</f>
        <v>#N/A</v>
      </c>
      <c r="V166" s="814" t="e">
        <f t="shared" ref="V166" si="70">_xlfn.IFS($S166="Si",1,$R166="Si",0.5,$U212="Si",0,$V212="Si","N/A")</f>
        <v>#N/A</v>
      </c>
      <c r="W166" s="687"/>
      <c r="X166" s="687"/>
      <c r="Y166" s="687"/>
      <c r="Z166" s="687"/>
      <c r="AA166" s="687"/>
      <c r="AB166" s="1"/>
      <c r="AC166" s="246" t="e">
        <f t="shared" ref="AC166" si="71">_xlfn.IFS($P166="Si",0,$Q166="si",0,$R166="si",0,$S166="si",1)</f>
        <v>#N/A</v>
      </c>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row>
    <row r="167" spans="1:83" ht="18.75" customHeight="1" x14ac:dyDescent="0.55000000000000004">
      <c r="A167" s="684" t="s">
        <v>51</v>
      </c>
      <c r="B167" s="684"/>
      <c r="C167" s="684"/>
      <c r="D167" s="684"/>
      <c r="E167" s="684"/>
      <c r="F167" s="684"/>
      <c r="G167" s="684"/>
      <c r="H167" s="684"/>
      <c r="I167" s="684"/>
      <c r="J167" s="684"/>
      <c r="K167" s="684"/>
      <c r="L167" s="684"/>
      <c r="M167" s="684"/>
      <c r="N167" s="684"/>
      <c r="O167" s="684"/>
      <c r="P167" s="684"/>
      <c r="Q167" s="684"/>
      <c r="R167" s="684"/>
      <c r="S167" s="684"/>
      <c r="T167" s="684"/>
      <c r="U167" s="821" t="e">
        <f>SUM(U166)</f>
        <v>#N/A</v>
      </c>
      <c r="V167" s="821"/>
      <c r="W167" s="709"/>
      <c r="X167" s="709"/>
      <c r="Y167" s="709"/>
      <c r="Z167" s="709"/>
      <c r="AA167" s="709"/>
      <c r="AB167" s="1"/>
      <c r="AC167" s="104" t="e">
        <f>SUM(AC166)</f>
        <v>#N/A</v>
      </c>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row>
    <row r="168" spans="1:83" ht="15.3" x14ac:dyDescent="0.55000000000000004">
      <c r="A168" s="503"/>
      <c r="B168" s="504"/>
      <c r="C168" s="504"/>
      <c r="D168" s="504"/>
      <c r="E168" s="504"/>
      <c r="F168" s="504"/>
      <c r="G168" s="504"/>
      <c r="H168" s="504"/>
      <c r="I168" s="504"/>
      <c r="J168" s="504"/>
      <c r="K168" s="504"/>
      <c r="L168" s="504"/>
      <c r="M168" s="504"/>
      <c r="N168" s="504"/>
      <c r="O168" s="504"/>
      <c r="P168" s="504"/>
      <c r="Q168" s="504"/>
      <c r="R168" s="504"/>
      <c r="S168" s="504"/>
      <c r="T168" s="504"/>
      <c r="U168" s="504"/>
      <c r="V168" s="504"/>
      <c r="W168" s="504"/>
      <c r="X168" s="504"/>
      <c r="Y168" s="504"/>
      <c r="Z168" s="504"/>
      <c r="AA168" s="505"/>
      <c r="AB168" s="1"/>
      <c r="AC168" s="104"/>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row>
    <row r="169" spans="1:83" ht="17.7" x14ac:dyDescent="0.55000000000000004">
      <c r="A169" s="612" t="s">
        <v>467</v>
      </c>
      <c r="B169" s="407"/>
      <c r="C169" s="407"/>
      <c r="D169" s="407"/>
      <c r="E169" s="407"/>
      <c r="F169" s="407"/>
      <c r="G169" s="407"/>
      <c r="H169" s="407"/>
      <c r="I169" s="407"/>
      <c r="J169" s="407"/>
      <c r="K169" s="407"/>
      <c r="L169" s="407"/>
      <c r="M169" s="407"/>
      <c r="N169" s="407"/>
      <c r="O169" s="408"/>
      <c r="P169" s="234" t="s">
        <v>72</v>
      </c>
      <c r="Q169" s="234" t="s">
        <v>88</v>
      </c>
      <c r="R169" s="234" t="s">
        <v>115</v>
      </c>
      <c r="S169" s="234" t="s">
        <v>118</v>
      </c>
      <c r="T169" s="235" t="s">
        <v>55</v>
      </c>
      <c r="U169" s="218" t="s">
        <v>49</v>
      </c>
      <c r="V169" s="215"/>
      <c r="W169" s="217" t="s">
        <v>50</v>
      </c>
      <c r="X169" s="217"/>
      <c r="Y169" s="217"/>
      <c r="Z169" s="217"/>
      <c r="AA169" s="217"/>
      <c r="AC169" s="246"/>
      <c r="AE169" s="7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row>
    <row r="170" spans="1:83" ht="97.5" customHeight="1" x14ac:dyDescent="0.55000000000000004">
      <c r="A170" s="279"/>
      <c r="B170" s="374" t="s">
        <v>471</v>
      </c>
      <c r="C170" s="374"/>
      <c r="D170" s="374"/>
      <c r="E170" s="374"/>
      <c r="F170" s="374"/>
      <c r="G170" s="374"/>
      <c r="H170" s="374"/>
      <c r="I170" s="374"/>
      <c r="J170" s="374"/>
      <c r="K170" s="374"/>
      <c r="L170" s="374"/>
      <c r="M170" s="374"/>
      <c r="N170" s="374"/>
      <c r="O170" s="414"/>
      <c r="P170" s="22"/>
      <c r="Q170" s="22" t="s">
        <v>533</v>
      </c>
      <c r="R170" s="22"/>
      <c r="S170" s="22"/>
      <c r="T170" s="14"/>
      <c r="U170" s="814">
        <f t="shared" ref="U170" si="72">_xlfn.IFS($P170="Si",1,$Q170="Si",0.5,$R170="Si",0,$S170="Si","N/A")</f>
        <v>0.5</v>
      </c>
      <c r="V170" s="814" t="e">
        <f t="shared" ref="V170" si="73">_xlfn.IFS($S170="Si",1,$R170="Si",0.5,$U216="Si",0,$V216="Si","N/A")</f>
        <v>#N/A</v>
      </c>
      <c r="W170" s="703"/>
      <c r="X170" s="704"/>
      <c r="Y170" s="704"/>
      <c r="Z170" s="704"/>
      <c r="AA170" s="705"/>
      <c r="AB170" s="77"/>
      <c r="AC170" s="246">
        <f t="shared" ref="AC170" si="74">_xlfn.IFS($P170="Si",0,$Q170="si",0,$R170="si",0,$S170="si",1)</f>
        <v>0</v>
      </c>
      <c r="AD170" s="77"/>
      <c r="AE170" s="77"/>
      <c r="AF170" s="1"/>
      <c r="AG170" s="1"/>
      <c r="AH170" s="122"/>
      <c r="AI170" s="122"/>
      <c r="AJ170" s="122"/>
      <c r="AK170" s="122"/>
      <c r="AL170" s="122"/>
      <c r="AM170" s="122"/>
      <c r="AN170" s="122"/>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row>
    <row r="171" spans="1:83" ht="18.75" customHeight="1" x14ac:dyDescent="0.55000000000000004">
      <c r="A171" s="649" t="s">
        <v>51</v>
      </c>
      <c r="B171" s="650"/>
      <c r="C171" s="650"/>
      <c r="D171" s="650"/>
      <c r="E171" s="650"/>
      <c r="F171" s="650"/>
      <c r="G171" s="650"/>
      <c r="H171" s="650"/>
      <c r="I171" s="650"/>
      <c r="J171" s="650"/>
      <c r="K171" s="650"/>
      <c r="L171" s="650"/>
      <c r="M171" s="650"/>
      <c r="N171" s="650"/>
      <c r="O171" s="650"/>
      <c r="P171" s="650"/>
      <c r="Q171" s="650"/>
      <c r="R171" s="650"/>
      <c r="S171" s="650"/>
      <c r="T171" s="651"/>
      <c r="U171" s="798">
        <f>SUM(U170)</f>
        <v>0.5</v>
      </c>
      <c r="V171" s="799"/>
      <c r="W171" s="681"/>
      <c r="X171" s="682"/>
      <c r="Y171" s="682"/>
      <c r="Z171" s="682"/>
      <c r="AA171" s="683"/>
      <c r="AB171" s="1"/>
      <c r="AC171" s="104">
        <f>SUM(AC170)</f>
        <v>0</v>
      </c>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row>
    <row r="172" spans="1:83" ht="15.3" x14ac:dyDescent="0.55000000000000004">
      <c r="A172" s="822"/>
      <c r="B172" s="823"/>
      <c r="C172" s="823"/>
      <c r="D172" s="823"/>
      <c r="E172" s="823"/>
      <c r="F172" s="823"/>
      <c r="G172" s="823"/>
      <c r="H172" s="823"/>
      <c r="I172" s="823"/>
      <c r="J172" s="823"/>
      <c r="K172" s="823"/>
      <c r="L172" s="823"/>
      <c r="M172" s="823"/>
      <c r="N172" s="823"/>
      <c r="O172" s="823"/>
      <c r="P172" s="823"/>
      <c r="Q172" s="823"/>
      <c r="R172" s="823"/>
      <c r="S172" s="823"/>
      <c r="T172" s="823"/>
      <c r="U172" s="823"/>
      <c r="V172" s="823"/>
      <c r="W172" s="823"/>
      <c r="X172" s="823"/>
      <c r="Y172" s="823"/>
      <c r="Z172" s="823"/>
      <c r="AA172" s="824"/>
      <c r="AB172" s="1"/>
      <c r="AC172" s="104"/>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row>
    <row r="173" spans="1:83" ht="17.7" x14ac:dyDescent="0.55000000000000004">
      <c r="A173" s="585" t="s">
        <v>472</v>
      </c>
      <c r="B173" s="585"/>
      <c r="C173" s="585"/>
      <c r="D173" s="585"/>
      <c r="E173" s="585"/>
      <c r="F173" s="585"/>
      <c r="G173" s="585"/>
      <c r="H173" s="585"/>
      <c r="I173" s="585"/>
      <c r="J173" s="585"/>
      <c r="K173" s="585"/>
      <c r="L173" s="585"/>
      <c r="M173" s="585"/>
      <c r="N173" s="585"/>
      <c r="O173" s="585"/>
      <c r="P173" s="27" t="s">
        <v>72</v>
      </c>
      <c r="Q173" s="27" t="s">
        <v>88</v>
      </c>
      <c r="R173" s="27" t="s">
        <v>115</v>
      </c>
      <c r="S173" s="27" t="s">
        <v>118</v>
      </c>
      <c r="T173" s="28" t="s">
        <v>55</v>
      </c>
      <c r="U173" s="210" t="s">
        <v>49</v>
      </c>
      <c r="V173" s="210"/>
      <c r="W173" s="210" t="s">
        <v>50</v>
      </c>
      <c r="X173" s="210"/>
      <c r="Y173" s="210"/>
      <c r="Z173" s="210"/>
      <c r="AA173" s="210"/>
      <c r="AC173" s="246"/>
      <c r="AE173" s="7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row>
    <row r="174" spans="1:83" ht="55.5" customHeight="1" x14ac:dyDescent="0.55000000000000004">
      <c r="A174" s="186"/>
      <c r="B174" s="375" t="s">
        <v>475</v>
      </c>
      <c r="C174" s="375"/>
      <c r="D174" s="375"/>
      <c r="E174" s="375"/>
      <c r="F174" s="375"/>
      <c r="G174" s="375"/>
      <c r="H174" s="375"/>
      <c r="I174" s="375"/>
      <c r="J174" s="375"/>
      <c r="K174" s="375"/>
      <c r="L174" s="375"/>
      <c r="M174" s="375"/>
      <c r="N174" s="375"/>
      <c r="O174" s="375"/>
      <c r="P174" s="22"/>
      <c r="Q174" s="22"/>
      <c r="R174" s="22"/>
      <c r="S174" s="22"/>
      <c r="T174" s="14"/>
      <c r="U174" s="825" t="e">
        <f t="shared" ref="U174" si="75">_xlfn.IFS($P174="Si",1,$Q174="Si",0.5,$R174="Si",0,$S174="Si","N/A")</f>
        <v>#N/A</v>
      </c>
      <c r="V174" s="825" t="e">
        <f t="shared" ref="V174" si="76">_xlfn.IFS($S174="Si",1,$R174="Si",0.5,$U220="Si",0,$V220="Si","N/A")</f>
        <v>#N/A</v>
      </c>
      <c r="W174" s="687"/>
      <c r="X174" s="687"/>
      <c r="Y174" s="687"/>
      <c r="Z174" s="687"/>
      <c r="AA174" s="687"/>
      <c r="AB174" s="1"/>
      <c r="AC174" s="246" t="e">
        <f t="shared" ref="AC174" si="77">_xlfn.IFS($P174="Si",0,$Q174="si",0,$R174="si",0,$S174="si",1)</f>
        <v>#N/A</v>
      </c>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row>
    <row r="175" spans="1:83" ht="18.75" customHeight="1" x14ac:dyDescent="0.55000000000000004">
      <c r="A175" s="684" t="s">
        <v>51</v>
      </c>
      <c r="B175" s="684"/>
      <c r="C175" s="684"/>
      <c r="D175" s="684"/>
      <c r="E175" s="684"/>
      <c r="F175" s="684"/>
      <c r="G175" s="684"/>
      <c r="H175" s="684"/>
      <c r="I175" s="684"/>
      <c r="J175" s="684"/>
      <c r="K175" s="684"/>
      <c r="L175" s="684"/>
      <c r="M175" s="684"/>
      <c r="N175" s="684"/>
      <c r="O175" s="684"/>
      <c r="P175" s="684"/>
      <c r="Q175" s="684"/>
      <c r="R175" s="684"/>
      <c r="S175" s="684"/>
      <c r="T175" s="684"/>
      <c r="U175" s="821" t="e">
        <f>SUM(U174)</f>
        <v>#N/A</v>
      </c>
      <c r="V175" s="821"/>
      <c r="W175" s="709"/>
      <c r="X175" s="709"/>
      <c r="Y175" s="709"/>
      <c r="Z175" s="709"/>
      <c r="AA175" s="709"/>
      <c r="AB175" s="1"/>
      <c r="AC175" s="104" t="e">
        <f>SUM(AC174)</f>
        <v>#N/A</v>
      </c>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row>
    <row r="176" spans="1:83" ht="15.3" x14ac:dyDescent="0.55000000000000004">
      <c r="A176" s="539"/>
      <c r="B176" s="539"/>
      <c r="C176" s="539"/>
      <c r="D176" s="539"/>
      <c r="E176" s="539"/>
      <c r="F176" s="539"/>
      <c r="G176" s="539"/>
      <c r="H176" s="539"/>
      <c r="I176" s="539"/>
      <c r="J176" s="539"/>
      <c r="K176" s="539"/>
      <c r="L176" s="539"/>
      <c r="M176" s="539"/>
      <c r="N176" s="539"/>
      <c r="O176" s="539"/>
      <c r="P176" s="539"/>
      <c r="Q176" s="539"/>
      <c r="R176" s="539"/>
      <c r="S176" s="539"/>
      <c r="T176" s="539"/>
      <c r="U176" s="539"/>
      <c r="V176" s="539"/>
      <c r="W176" s="539"/>
      <c r="X176" s="539"/>
      <c r="Y176" s="539"/>
      <c r="Z176" s="539"/>
      <c r="AA176" s="539"/>
      <c r="AB176" s="1"/>
      <c r="AC176" s="104"/>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row>
    <row r="177" spans="1:83" ht="17.7" x14ac:dyDescent="0.55000000000000004">
      <c r="A177" s="518" t="s">
        <v>112</v>
      </c>
      <c r="B177" s="518"/>
      <c r="C177" s="518"/>
      <c r="D177" s="518"/>
      <c r="E177" s="518"/>
      <c r="F177" s="518"/>
      <c r="G177" s="518"/>
      <c r="H177" s="518"/>
      <c r="I177" s="518"/>
      <c r="J177" s="518"/>
      <c r="K177" s="518"/>
      <c r="L177" s="518"/>
      <c r="M177" s="518"/>
      <c r="N177" s="518"/>
      <c r="O177" s="518"/>
      <c r="P177" s="29" t="s">
        <v>72</v>
      </c>
      <c r="R177" s="29" t="s">
        <v>115</v>
      </c>
      <c r="S177" s="29" t="s">
        <v>118</v>
      </c>
      <c r="T177" s="30" t="s">
        <v>55</v>
      </c>
      <c r="U177" s="228" t="s">
        <v>49</v>
      </c>
      <c r="V177" s="228"/>
      <c r="W177" s="228" t="s">
        <v>50</v>
      </c>
      <c r="X177" s="228"/>
      <c r="Y177" s="228"/>
      <c r="Z177" s="228"/>
      <c r="AA177" s="228"/>
      <c r="AC177" s="246"/>
      <c r="AE177" s="77"/>
      <c r="AF177" s="1"/>
      <c r="AG177" s="1"/>
      <c r="AH177" s="1"/>
      <c r="AI177" s="1"/>
      <c r="AJ177" s="1"/>
      <c r="AK177" s="487"/>
      <c r="AL177" s="487"/>
      <c r="AM177" s="487"/>
      <c r="AN177" s="487"/>
      <c r="AO177" s="487"/>
      <c r="AP177" s="487"/>
      <c r="AQ177" s="487"/>
      <c r="AR177" s="487"/>
      <c r="AS177" s="487"/>
      <c r="AT177" s="487"/>
      <c r="AU177" s="487"/>
      <c r="AV177" s="487"/>
      <c r="AW177" s="487"/>
      <c r="AX177" s="487"/>
      <c r="AY177" s="487"/>
      <c r="AZ177" s="487"/>
      <c r="BA177" s="487"/>
      <c r="BB177" s="487"/>
      <c r="BC177" s="487"/>
      <c r="BD177" s="487"/>
      <c r="BE177" s="487"/>
      <c r="BF177" s="487"/>
      <c r="BG177" s="487"/>
      <c r="BH177" s="488"/>
      <c r="BI177" s="1"/>
      <c r="BJ177" s="1"/>
      <c r="BK177" s="1"/>
      <c r="BL177" s="1"/>
      <c r="BM177" s="1"/>
      <c r="BN177" s="1"/>
      <c r="BO177" s="1"/>
      <c r="BP177" s="1"/>
      <c r="BQ177" s="1"/>
      <c r="BR177" s="1"/>
      <c r="BS177" s="1"/>
      <c r="BT177" s="1"/>
      <c r="BU177" s="1"/>
      <c r="BV177" s="1"/>
      <c r="BW177" s="1"/>
      <c r="BX177" s="1"/>
      <c r="BY177" s="1"/>
      <c r="BZ177" s="1"/>
      <c r="CA177" s="1"/>
      <c r="CB177" s="1"/>
      <c r="CC177" s="1"/>
      <c r="CD177" s="1"/>
      <c r="CE177" s="1"/>
    </row>
    <row r="178" spans="1:83" ht="65.25" customHeight="1" x14ac:dyDescent="0.55000000000000004">
      <c r="A178" s="26"/>
      <c r="B178" s="375" t="s">
        <v>477</v>
      </c>
      <c r="C178" s="375"/>
      <c r="D178" s="375"/>
      <c r="E178" s="375"/>
      <c r="F178" s="375"/>
      <c r="G178" s="375"/>
      <c r="H178" s="375"/>
      <c r="I178" s="375"/>
      <c r="J178" s="375"/>
      <c r="K178" s="375"/>
      <c r="L178" s="375"/>
      <c r="M178" s="375"/>
      <c r="N178" s="375"/>
      <c r="O178" s="375"/>
      <c r="P178" s="22"/>
      <c r="R178" s="22" t="s">
        <v>533</v>
      </c>
      <c r="S178" s="22"/>
      <c r="T178" s="14"/>
      <c r="U178" s="825">
        <f t="shared" ref="U178" si="78">_xlfn.IFS($P178="Si",1,$Q178="Si",0.5,$R178="Si",0,$S178="Si","N/A")</f>
        <v>0</v>
      </c>
      <c r="V178" s="825">
        <f>_xlfn.IFS($S178="Si",1,$R178="Si",0.5,$U224="Si",0,$S224="Si","N/A")</f>
        <v>0.5</v>
      </c>
      <c r="W178" s="687"/>
      <c r="X178" s="687"/>
      <c r="Y178" s="687"/>
      <c r="Z178" s="687"/>
      <c r="AA178" s="687"/>
      <c r="AB178" s="24"/>
      <c r="AC178" s="246">
        <f t="shared" ref="AC178" si="79">_xlfn.IFS($P178="Si",0,$Q178="si",0,$R178="si",0,$S178="si",1)</f>
        <v>0</v>
      </c>
      <c r="AD178" s="24"/>
      <c r="AE178" s="24"/>
      <c r="AF178" s="1"/>
      <c r="AG178" s="773"/>
      <c r="AH178" s="773"/>
      <c r="AI178" s="773"/>
      <c r="AJ178" s="773"/>
      <c r="AK178" s="773"/>
      <c r="AL178" s="35"/>
      <c r="AM178" s="535"/>
      <c r="AN178" s="535"/>
      <c r="AO178" s="535"/>
      <c r="AP178" s="535"/>
      <c r="AQ178" s="535"/>
      <c r="AR178" s="535"/>
      <c r="AS178" s="535"/>
      <c r="AT178" s="535"/>
      <c r="AU178" s="535"/>
      <c r="AV178" s="535"/>
      <c r="AW178" s="535"/>
      <c r="AX178" s="36"/>
      <c r="AY178" s="36"/>
      <c r="AZ178" s="36"/>
      <c r="BA178" s="36"/>
      <c r="BB178" s="36"/>
      <c r="BC178" s="36"/>
      <c r="BD178" s="36"/>
      <c r="BE178" s="36"/>
      <c r="BF178" s="36"/>
      <c r="BG178" s="36"/>
      <c r="BH178" s="36"/>
      <c r="BI178" s="1"/>
      <c r="BJ178" s="1"/>
      <c r="BK178" s="1"/>
      <c r="BL178" s="1"/>
      <c r="BM178" s="1"/>
      <c r="BN178" s="1"/>
      <c r="BO178" s="1"/>
      <c r="BP178" s="1"/>
      <c r="BQ178" s="1"/>
      <c r="BR178" s="1"/>
      <c r="BS178" s="1"/>
      <c r="BT178" s="1"/>
      <c r="BU178" s="1"/>
      <c r="BV178" s="1"/>
      <c r="BW178" s="1"/>
      <c r="BX178" s="1"/>
      <c r="BY178" s="1"/>
      <c r="BZ178" s="1"/>
      <c r="CA178" s="1"/>
      <c r="CB178" s="1"/>
      <c r="CC178" s="1"/>
      <c r="CD178" s="1"/>
      <c r="CE178" s="1"/>
    </row>
    <row r="179" spans="1:83" ht="15.75" customHeight="1" x14ac:dyDescent="0.55000000000000004">
      <c r="A179" s="684" t="s">
        <v>51</v>
      </c>
      <c r="B179" s="684"/>
      <c r="C179" s="684"/>
      <c r="D179" s="684"/>
      <c r="E179" s="684"/>
      <c r="F179" s="684"/>
      <c r="G179" s="684"/>
      <c r="H179" s="684"/>
      <c r="I179" s="684"/>
      <c r="J179" s="684"/>
      <c r="K179" s="684"/>
      <c r="L179" s="684"/>
      <c r="M179" s="684"/>
      <c r="N179" s="684"/>
      <c r="O179" s="684"/>
      <c r="P179" s="684"/>
      <c r="Q179" s="684"/>
      <c r="R179" s="684"/>
      <c r="S179" s="684"/>
      <c r="T179" s="684"/>
      <c r="U179" s="685">
        <f>SUM(U178)</f>
        <v>0</v>
      </c>
      <c r="V179" s="685"/>
      <c r="W179" s="709"/>
      <c r="X179" s="709"/>
      <c r="Y179" s="709"/>
      <c r="Z179" s="709"/>
      <c r="AA179" s="709"/>
      <c r="AB179" s="24"/>
      <c r="AC179" s="104">
        <f>SUM(AC178)</f>
        <v>0</v>
      </c>
      <c r="AD179" s="24"/>
      <c r="AE179" s="24"/>
      <c r="AF179" s="1"/>
      <c r="AG179" s="1"/>
      <c r="AH179" s="1"/>
      <c r="AI179" s="1"/>
      <c r="AJ179" s="1"/>
      <c r="AK179" s="1"/>
      <c r="AL179" s="1"/>
      <c r="AM179" s="793"/>
      <c r="AN179" s="793"/>
      <c r="AO179" s="793"/>
      <c r="AP179" s="793"/>
      <c r="AQ179" s="793"/>
      <c r="AR179" s="793"/>
      <c r="AS179" s="793"/>
      <c r="AT179" s="793"/>
      <c r="AU179" s="793"/>
      <c r="AV179" s="793"/>
      <c r="AW179" s="793"/>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row>
    <row r="180" spans="1:83" ht="15.75" customHeight="1" x14ac:dyDescent="0.55000000000000004">
      <c r="A180" s="539"/>
      <c r="B180" s="539"/>
      <c r="C180" s="539"/>
      <c r="D180" s="539"/>
      <c r="E180" s="539"/>
      <c r="F180" s="539"/>
      <c r="G180" s="539"/>
      <c r="H180" s="539"/>
      <c r="I180" s="539"/>
      <c r="J180" s="539"/>
      <c r="K180" s="539"/>
      <c r="L180" s="539"/>
      <c r="M180" s="539"/>
      <c r="N180" s="539"/>
      <c r="O180" s="539"/>
      <c r="P180" s="539"/>
      <c r="Q180" s="539"/>
      <c r="R180" s="539"/>
      <c r="S180" s="539"/>
      <c r="T180" s="539"/>
      <c r="U180" s="539"/>
      <c r="V180" s="539"/>
      <c r="W180" s="539"/>
      <c r="X180" s="539"/>
      <c r="Y180" s="539"/>
      <c r="Z180" s="539"/>
      <c r="AA180" s="539"/>
      <c r="AB180" s="1"/>
      <c r="AC180" s="104"/>
      <c r="AD180" s="1"/>
      <c r="AE180" s="1"/>
      <c r="AF180" s="1"/>
      <c r="AG180" s="1"/>
      <c r="AH180" s="1"/>
      <c r="AI180" s="1"/>
      <c r="AJ180" s="1"/>
      <c r="AK180" s="1"/>
      <c r="AL180" s="1"/>
      <c r="AM180" s="326"/>
      <c r="AN180" s="326"/>
      <c r="AO180" s="326"/>
      <c r="AP180" s="326"/>
      <c r="AQ180" s="326"/>
      <c r="AR180" s="326"/>
      <c r="AS180" s="326"/>
      <c r="AT180" s="326"/>
      <c r="AU180" s="326"/>
      <c r="AV180" s="326"/>
      <c r="AW180" s="326"/>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row>
    <row r="181" spans="1:83" ht="15.75" customHeight="1" x14ac:dyDescent="0.55000000000000004">
      <c r="A181" s="540" t="s">
        <v>486</v>
      </c>
      <c r="B181" s="540"/>
      <c r="C181" s="540"/>
      <c r="D181" s="540"/>
      <c r="E181" s="540"/>
      <c r="F181" s="540"/>
      <c r="G181" s="540"/>
      <c r="H181" s="540"/>
      <c r="I181" s="540"/>
      <c r="J181" s="540"/>
      <c r="K181" s="540"/>
      <c r="L181" s="540"/>
      <c r="M181" s="540"/>
      <c r="N181" s="540"/>
      <c r="O181" s="540"/>
      <c r="P181" s="29" t="s">
        <v>72</v>
      </c>
      <c r="Q181" s="29" t="s">
        <v>88</v>
      </c>
      <c r="R181" s="29" t="s">
        <v>115</v>
      </c>
      <c r="S181" s="29" t="s">
        <v>118</v>
      </c>
      <c r="T181" s="30" t="s">
        <v>55</v>
      </c>
      <c r="U181" s="228" t="s">
        <v>49</v>
      </c>
      <c r="V181" s="228"/>
      <c r="W181" s="228" t="s">
        <v>50</v>
      </c>
      <c r="X181" s="228"/>
      <c r="Y181" s="228"/>
      <c r="Z181" s="228"/>
      <c r="AA181" s="228"/>
      <c r="AC181" s="246"/>
      <c r="AE181" s="77"/>
      <c r="AF181" s="1"/>
      <c r="AG181" s="1"/>
      <c r="AH181" s="1"/>
      <c r="AI181" s="1"/>
      <c r="AJ181" s="1"/>
      <c r="AK181" s="1"/>
      <c r="AL181" s="1"/>
      <c r="AM181" s="534"/>
      <c r="AN181" s="534"/>
      <c r="AO181" s="534"/>
      <c r="AP181" s="534"/>
      <c r="AQ181" s="534"/>
      <c r="AR181" s="534"/>
      <c r="AS181" s="534"/>
      <c r="AT181" s="534"/>
      <c r="AU181" s="534"/>
      <c r="AV181" s="534"/>
      <c r="AW181" s="534"/>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row>
    <row r="182" spans="1:83" ht="47.25" customHeight="1" x14ac:dyDescent="0.55000000000000004">
      <c r="A182" s="238"/>
      <c r="B182" s="375" t="s">
        <v>492</v>
      </c>
      <c r="C182" s="375"/>
      <c r="D182" s="375"/>
      <c r="E182" s="375"/>
      <c r="F182" s="375"/>
      <c r="G182" s="375"/>
      <c r="H182" s="375"/>
      <c r="I182" s="375"/>
      <c r="J182" s="375"/>
      <c r="K182" s="375"/>
      <c r="L182" s="375"/>
      <c r="M182" s="375"/>
      <c r="N182" s="375"/>
      <c r="O182" s="375"/>
      <c r="P182" s="22"/>
      <c r="Q182" s="22"/>
      <c r="R182" s="22"/>
      <c r="S182" s="22"/>
      <c r="T182" s="14"/>
      <c r="U182" s="825" t="e">
        <f t="shared" ref="U182:U183" si="80">_xlfn.IFS($P182="Si",1,$Q182="Si",0.5,$R182="Si",0,$S182="Si","N/A")</f>
        <v>#N/A</v>
      </c>
      <c r="V182" s="825" t="e">
        <f>_xlfn.IFS($S182="Si",1,$R182="Si",0.5,$U228="Si",0,$V228="Si","N/A")</f>
        <v>#N/A</v>
      </c>
      <c r="W182" s="648"/>
      <c r="X182" s="648"/>
      <c r="Y182" s="648"/>
      <c r="Z182" s="648"/>
      <c r="AA182" s="648"/>
      <c r="AB182" s="1"/>
      <c r="AC182" s="246" t="e">
        <f t="shared" ref="AC182:AC183" si="81">_xlfn.IFS($P182="Si",0,$Q182="si",0,$R182="si",0,$S182="si",1)</f>
        <v>#N/A</v>
      </c>
      <c r="AD182" s="1"/>
      <c r="AE182" s="1"/>
      <c r="AF182" s="1"/>
      <c r="AG182" s="1"/>
      <c r="AH182" s="1"/>
      <c r="AI182" s="1"/>
      <c r="AJ182" s="1"/>
      <c r="AK182" s="1"/>
      <c r="AL182" s="1"/>
      <c r="AM182" s="326"/>
      <c r="AN182" s="326"/>
      <c r="AO182" s="326"/>
      <c r="AP182" s="326"/>
      <c r="AQ182" s="326"/>
      <c r="AR182" s="326"/>
      <c r="AS182" s="326"/>
      <c r="AT182" s="326"/>
      <c r="AU182" s="326"/>
      <c r="AV182" s="326"/>
      <c r="AW182" s="326"/>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row>
    <row r="183" spans="1:83" ht="63.25" customHeight="1" x14ac:dyDescent="0.55000000000000004">
      <c r="A183" s="238"/>
      <c r="B183" s="375" t="s">
        <v>493</v>
      </c>
      <c r="C183" s="375"/>
      <c r="D183" s="375"/>
      <c r="E183" s="375"/>
      <c r="F183" s="375"/>
      <c r="G183" s="375"/>
      <c r="H183" s="375"/>
      <c r="I183" s="375"/>
      <c r="J183" s="375"/>
      <c r="K183" s="375"/>
      <c r="L183" s="375"/>
      <c r="M183" s="375"/>
      <c r="N183" s="375"/>
      <c r="O183" s="375"/>
      <c r="P183" s="22"/>
      <c r="Q183" s="22"/>
      <c r="R183" s="22"/>
      <c r="S183" s="22"/>
      <c r="T183" s="14"/>
      <c r="U183" s="825" t="e">
        <f t="shared" si="80"/>
        <v>#N/A</v>
      </c>
      <c r="V183" s="825" t="e">
        <f>_xlfn.IFS($S183="Si",1,$R183="Si",0.5,$U229="Si",0,$V229="Si","N/A")</f>
        <v>#N/A</v>
      </c>
      <c r="W183" s="648"/>
      <c r="X183" s="648"/>
      <c r="Y183" s="648"/>
      <c r="Z183" s="648"/>
      <c r="AA183" s="648"/>
      <c r="AB183" s="1"/>
      <c r="AC183" s="246" t="e">
        <f t="shared" si="81"/>
        <v>#N/A</v>
      </c>
      <c r="AD183" s="1"/>
      <c r="AE183" s="1"/>
      <c r="AF183" s="1"/>
      <c r="AG183" s="1"/>
      <c r="AH183" s="1"/>
      <c r="AI183" s="1"/>
      <c r="AJ183" s="1"/>
      <c r="AK183" s="1"/>
      <c r="AL183" s="1"/>
      <c r="AM183" s="23"/>
      <c r="AN183" s="23"/>
      <c r="AO183" s="23"/>
      <c r="AP183" s="23"/>
      <c r="AQ183" s="23"/>
      <c r="AR183" s="23"/>
      <c r="AS183" s="23"/>
      <c r="AT183" s="23"/>
      <c r="AU183" s="23"/>
      <c r="AV183" s="23"/>
      <c r="AW183" s="23"/>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row>
    <row r="184" spans="1:83" ht="15.75" customHeight="1" x14ac:dyDescent="0.55000000000000004">
      <c r="A184" s="684" t="s">
        <v>51</v>
      </c>
      <c r="B184" s="684"/>
      <c r="C184" s="684"/>
      <c r="D184" s="684"/>
      <c r="E184" s="684"/>
      <c r="F184" s="684"/>
      <c r="G184" s="684"/>
      <c r="H184" s="684"/>
      <c r="I184" s="684"/>
      <c r="J184" s="684"/>
      <c r="K184" s="684"/>
      <c r="L184" s="684"/>
      <c r="M184" s="684"/>
      <c r="N184" s="684"/>
      <c r="O184" s="684"/>
      <c r="P184" s="684"/>
      <c r="Q184" s="684"/>
      <c r="R184" s="684"/>
      <c r="S184" s="684"/>
      <c r="T184" s="684"/>
      <c r="U184" s="685" t="e">
        <f>SUM(U182:U183)</f>
        <v>#N/A</v>
      </c>
      <c r="V184" s="685"/>
      <c r="W184" s="709"/>
      <c r="X184" s="709"/>
      <c r="Y184" s="709"/>
      <c r="Z184" s="709"/>
      <c r="AA184" s="709"/>
      <c r="AB184" s="1"/>
      <c r="AC184" s="104" t="e">
        <f>SUM(AC182:AC183)</f>
        <v>#N/A</v>
      </c>
      <c r="AD184" s="1"/>
      <c r="AE184" s="1"/>
      <c r="AF184" s="1"/>
      <c r="AG184" s="1"/>
      <c r="AH184" s="1"/>
      <c r="AI184" s="1"/>
      <c r="AJ184" s="1"/>
      <c r="AK184" s="1"/>
      <c r="AL184" s="1"/>
      <c r="AM184" s="326"/>
      <c r="AN184" s="326"/>
      <c r="AO184" s="326"/>
      <c r="AP184" s="326"/>
      <c r="AQ184" s="326"/>
      <c r="AR184" s="326"/>
      <c r="AS184" s="326"/>
      <c r="AT184" s="326"/>
      <c r="AU184" s="326"/>
      <c r="AV184" s="326"/>
      <c r="AW184" s="326"/>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row>
    <row r="185" spans="1:83" ht="15.75" customHeight="1" x14ac:dyDescent="0.55000000000000004">
      <c r="A185" s="726"/>
      <c r="B185" s="726"/>
      <c r="C185" s="726"/>
      <c r="D185" s="726"/>
      <c r="E185" s="726"/>
      <c r="F185" s="726"/>
      <c r="G185" s="726"/>
      <c r="H185" s="726"/>
      <c r="I185" s="726"/>
      <c r="J185" s="726"/>
      <c r="K185" s="726"/>
      <c r="L185" s="726"/>
      <c r="M185" s="726"/>
      <c r="N185" s="726"/>
      <c r="O185" s="726"/>
      <c r="P185" s="726"/>
      <c r="Q185" s="726"/>
      <c r="R185" s="726"/>
      <c r="S185" s="726"/>
      <c r="T185" s="726"/>
      <c r="U185" s="726"/>
      <c r="V185" s="726"/>
      <c r="W185" s="726"/>
      <c r="X185" s="726"/>
      <c r="Y185" s="726"/>
      <c r="Z185" s="726"/>
      <c r="AA185" s="726"/>
      <c r="AB185" s="24"/>
      <c r="AC185" s="104"/>
      <c r="AD185" s="24"/>
      <c r="AE185" s="24"/>
      <c r="AF185" s="1"/>
      <c r="AG185" s="1"/>
      <c r="AH185" s="1"/>
      <c r="AI185" s="1"/>
      <c r="AJ185" s="1"/>
      <c r="AK185" s="1"/>
      <c r="AL185" s="1"/>
      <c r="AM185" s="23"/>
      <c r="AN185" s="23"/>
      <c r="AO185" s="23"/>
      <c r="AP185" s="23"/>
      <c r="AQ185" s="23"/>
      <c r="AR185" s="23"/>
      <c r="AS185" s="23"/>
      <c r="AT185" s="23"/>
      <c r="AU185" s="23"/>
      <c r="AV185" s="23"/>
      <c r="AW185" s="23"/>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row>
    <row r="186" spans="1:83" ht="18.75" customHeight="1" x14ac:dyDescent="0.55000000000000004">
      <c r="A186" s="552" t="s">
        <v>113</v>
      </c>
      <c r="B186" s="552"/>
      <c r="C186" s="552"/>
      <c r="D186" s="552"/>
      <c r="E186" s="552"/>
      <c r="F186" s="552"/>
      <c r="G186" s="552"/>
      <c r="H186" s="552"/>
      <c r="I186" s="552"/>
      <c r="J186" s="552"/>
      <c r="K186" s="552"/>
      <c r="L186" s="552"/>
      <c r="M186" s="552"/>
      <c r="N186" s="552"/>
      <c r="O186" s="552"/>
      <c r="P186" s="552"/>
      <c r="Q186" s="552"/>
      <c r="R186" s="552"/>
      <c r="S186" s="552"/>
      <c r="T186" s="552"/>
      <c r="U186" s="552"/>
      <c r="V186" s="552"/>
      <c r="W186" s="552"/>
      <c r="X186" s="552"/>
      <c r="Y186" s="552"/>
      <c r="Z186" s="552"/>
      <c r="AA186" s="552"/>
      <c r="AB186" s="239"/>
      <c r="AC186" s="104"/>
      <c r="AD186" s="239"/>
      <c r="AE186" s="239"/>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row>
    <row r="187" spans="1:83" ht="18.75" customHeight="1" x14ac:dyDescent="0.55000000000000004">
      <c r="A187" s="826" t="s">
        <v>500</v>
      </c>
      <c r="B187" s="826"/>
      <c r="C187" s="826"/>
      <c r="D187" s="826"/>
      <c r="E187" s="826"/>
      <c r="F187" s="826"/>
      <c r="G187" s="826"/>
      <c r="H187" s="826"/>
      <c r="I187" s="826"/>
      <c r="J187" s="826"/>
      <c r="K187" s="826"/>
      <c r="L187" s="826"/>
      <c r="M187" s="826"/>
      <c r="N187" s="826"/>
      <c r="O187" s="826"/>
      <c r="P187" s="27" t="s">
        <v>72</v>
      </c>
      <c r="Q187" s="27" t="s">
        <v>88</v>
      </c>
      <c r="R187" s="27" t="s">
        <v>115</v>
      </c>
      <c r="S187" s="27" t="s">
        <v>118</v>
      </c>
      <c r="T187" s="28" t="s">
        <v>55</v>
      </c>
      <c r="U187" s="210" t="s">
        <v>49</v>
      </c>
      <c r="V187" s="210"/>
      <c r="W187" s="210" t="s">
        <v>50</v>
      </c>
      <c r="X187" s="210"/>
      <c r="Y187" s="210"/>
      <c r="Z187" s="210"/>
      <c r="AA187" s="210"/>
      <c r="AC187" s="246"/>
      <c r="AE187" s="77"/>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row>
    <row r="188" spans="1:83" ht="52.75" customHeight="1" x14ac:dyDescent="0.55000000000000004">
      <c r="A188" s="186"/>
      <c r="B188" s="375" t="s">
        <v>641</v>
      </c>
      <c r="C188" s="375"/>
      <c r="D188" s="375"/>
      <c r="E188" s="375"/>
      <c r="F188" s="375"/>
      <c r="G188" s="375"/>
      <c r="H188" s="375"/>
      <c r="I188" s="375"/>
      <c r="J188" s="375"/>
      <c r="K188" s="375"/>
      <c r="L188" s="375"/>
      <c r="M188" s="375"/>
      <c r="N188" s="375"/>
      <c r="O188" s="375"/>
      <c r="P188" s="22"/>
      <c r="Q188" s="22"/>
      <c r="R188" s="22"/>
      <c r="S188" s="22"/>
      <c r="T188" s="14"/>
      <c r="U188" s="825" t="e">
        <f t="shared" ref="U188" si="82">_xlfn.IFS($P188="Si",1,$Q188="Si",0.5,$R188="Si",0,$S188="Si","N/A")</f>
        <v>#N/A</v>
      </c>
      <c r="V188" s="825" t="e">
        <f>_xlfn.IFS($S188="Si",1,$R188="Si",0.5,$U236="Si",0,$V236="Si","N/A")</f>
        <v>#N/A</v>
      </c>
      <c r="W188" s="648"/>
      <c r="X188" s="648"/>
      <c r="Y188" s="648"/>
      <c r="Z188" s="648"/>
      <c r="AA188" s="648"/>
      <c r="AB188" s="1"/>
      <c r="AC188" s="246" t="e">
        <f t="shared" ref="AC188" si="83">_xlfn.IFS($P188="Si",0,$Q188="si",0,$R188="si",0,$S188="si",1)</f>
        <v>#N/A</v>
      </c>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row>
    <row r="189" spans="1:83" ht="18.75" customHeight="1" x14ac:dyDescent="0.55000000000000004">
      <c r="A189" s="684" t="s">
        <v>51</v>
      </c>
      <c r="B189" s="684"/>
      <c r="C189" s="684"/>
      <c r="D189" s="684"/>
      <c r="E189" s="684"/>
      <c r="F189" s="684"/>
      <c r="G189" s="684"/>
      <c r="H189" s="684"/>
      <c r="I189" s="684"/>
      <c r="J189" s="684"/>
      <c r="K189" s="684"/>
      <c r="L189" s="684"/>
      <c r="M189" s="684"/>
      <c r="N189" s="684"/>
      <c r="O189" s="684"/>
      <c r="P189" s="684"/>
      <c r="Q189" s="684"/>
      <c r="R189" s="684"/>
      <c r="S189" s="684"/>
      <c r="T189" s="684"/>
      <c r="U189" s="685" t="e">
        <f>SUM(U188)</f>
        <v>#N/A</v>
      </c>
      <c r="V189" s="685"/>
      <c r="W189" s="709"/>
      <c r="X189" s="709"/>
      <c r="Y189" s="709"/>
      <c r="Z189" s="709"/>
      <c r="AA189" s="709"/>
      <c r="AB189" s="1"/>
      <c r="AC189" s="104" t="e">
        <f>SUM(AC188)</f>
        <v>#N/A</v>
      </c>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row>
    <row r="190" spans="1:83" ht="15.3" x14ac:dyDescent="0.55000000000000004">
      <c r="A190" s="485"/>
      <c r="B190" s="550"/>
      <c r="C190" s="550"/>
      <c r="D190" s="550"/>
      <c r="E190" s="550"/>
      <c r="F190" s="550"/>
      <c r="G190" s="550"/>
      <c r="H190" s="550"/>
      <c r="I190" s="550"/>
      <c r="J190" s="550"/>
      <c r="K190" s="550"/>
      <c r="L190" s="550"/>
      <c r="M190" s="550"/>
      <c r="N190" s="550"/>
      <c r="O190" s="550"/>
      <c r="P190" s="550"/>
      <c r="Q190" s="550"/>
      <c r="R190" s="550"/>
      <c r="S190" s="550"/>
      <c r="T190" s="550"/>
      <c r="U190" s="550"/>
      <c r="V190" s="550"/>
      <c r="W190" s="550"/>
      <c r="X190" s="550"/>
      <c r="Y190" s="550"/>
      <c r="Z190" s="550"/>
      <c r="AA190" s="551"/>
      <c r="AC190" s="104"/>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row>
    <row r="191" spans="1:83" ht="17.7" x14ac:dyDescent="0.55000000000000004">
      <c r="A191" s="559" t="s">
        <v>114</v>
      </c>
      <c r="B191" s="388"/>
      <c r="C191" s="388"/>
      <c r="D191" s="388"/>
      <c r="E191" s="388"/>
      <c r="F191" s="388"/>
      <c r="G191" s="388"/>
      <c r="H191" s="388"/>
      <c r="I191" s="388"/>
      <c r="J191" s="388"/>
      <c r="K191" s="388"/>
      <c r="L191" s="388"/>
      <c r="M191" s="388"/>
      <c r="N191" s="388"/>
      <c r="O191" s="389"/>
      <c r="P191" s="29" t="s">
        <v>72</v>
      </c>
      <c r="Q191" s="29" t="s">
        <v>88</v>
      </c>
      <c r="R191" s="29" t="s">
        <v>115</v>
      </c>
      <c r="S191" s="29" t="s">
        <v>118</v>
      </c>
      <c r="T191" s="30" t="s">
        <v>55</v>
      </c>
      <c r="U191" s="226" t="s">
        <v>49</v>
      </c>
      <c r="V191" s="227"/>
      <c r="W191" s="228" t="s">
        <v>50</v>
      </c>
      <c r="X191" s="231"/>
      <c r="Y191" s="231"/>
      <c r="Z191" s="231"/>
      <c r="AA191" s="231"/>
      <c r="AC191" s="246"/>
      <c r="AE191" s="77"/>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row>
    <row r="192" spans="1:83" ht="112.5" customHeight="1" x14ac:dyDescent="0.55000000000000004">
      <c r="A192" s="56"/>
      <c r="B192" s="376" t="s">
        <v>518</v>
      </c>
      <c r="C192" s="536"/>
      <c r="D192" s="536"/>
      <c r="E192" s="536"/>
      <c r="F192" s="536"/>
      <c r="G192" s="536"/>
      <c r="H192" s="536"/>
      <c r="I192" s="536"/>
      <c r="J192" s="536"/>
      <c r="K192" s="536"/>
      <c r="L192" s="536"/>
      <c r="M192" s="536"/>
      <c r="N192" s="536"/>
      <c r="O192" s="610"/>
      <c r="P192" s="22"/>
      <c r="Q192" s="22"/>
      <c r="R192" s="22"/>
      <c r="S192" s="22"/>
      <c r="T192" s="14"/>
      <c r="U192" s="825" t="e">
        <f t="shared" ref="U192" si="84">_xlfn.IFS($P192="Si",1,$Q192="Si",0.5,$R192="Si",0,$S192="Si","N/A")</f>
        <v>#N/A</v>
      </c>
      <c r="V192" s="825" t="e">
        <f>_xlfn.IFS($S192="Si",1,$R192="Si",0.5,$U240="Si",0,$V240="Si","N/A")</f>
        <v>#N/A</v>
      </c>
      <c r="W192" s="703"/>
      <c r="X192" s="704"/>
      <c r="Y192" s="704"/>
      <c r="Z192" s="704"/>
      <c r="AA192" s="705"/>
      <c r="AB192" s="1"/>
      <c r="AC192" s="246" t="e">
        <f t="shared" ref="AC192" si="85">_xlfn.IFS($P192="Si",0,$Q192="si",0,$R192="si",0,$S192="si",1)</f>
        <v>#N/A</v>
      </c>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row>
    <row r="193" spans="1:83" ht="15.75" customHeight="1" x14ac:dyDescent="0.55000000000000004">
      <c r="A193" s="649" t="s">
        <v>51</v>
      </c>
      <c r="B193" s="650"/>
      <c r="C193" s="650"/>
      <c r="D193" s="650"/>
      <c r="E193" s="650"/>
      <c r="F193" s="650"/>
      <c r="G193" s="650"/>
      <c r="H193" s="650"/>
      <c r="I193" s="650"/>
      <c r="J193" s="650"/>
      <c r="K193" s="650"/>
      <c r="L193" s="650"/>
      <c r="M193" s="650"/>
      <c r="N193" s="650"/>
      <c r="O193" s="650"/>
      <c r="P193" s="650"/>
      <c r="Q193" s="650"/>
      <c r="R193" s="650"/>
      <c r="S193" s="650"/>
      <c r="T193" s="651"/>
      <c r="U193" s="798" t="e">
        <f>SUM(U192)</f>
        <v>#N/A</v>
      </c>
      <c r="V193" s="799"/>
      <c r="W193" s="681"/>
      <c r="X193" s="682"/>
      <c r="Y193" s="682"/>
      <c r="Z193" s="682"/>
      <c r="AA193" s="683"/>
      <c r="AB193" s="1"/>
      <c r="AC193" s="105" t="e">
        <f>SUM(AC192)</f>
        <v>#N/A</v>
      </c>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row>
    <row r="194" spans="1:83" ht="17.7" x14ac:dyDescent="0.6">
      <c r="A194" s="827" t="s">
        <v>56</v>
      </c>
      <c r="B194" s="828"/>
      <c r="C194" s="828"/>
      <c r="D194" s="828"/>
      <c r="E194" s="828"/>
      <c r="F194" s="828"/>
      <c r="G194" s="828"/>
      <c r="H194" s="828"/>
      <c r="I194" s="828"/>
      <c r="J194" s="828"/>
      <c r="K194" s="828"/>
      <c r="L194" s="828"/>
      <c r="M194" s="828"/>
      <c r="N194" s="828"/>
      <c r="O194" s="828"/>
      <c r="P194" s="828"/>
      <c r="Q194" s="828"/>
      <c r="R194" s="828"/>
      <c r="S194" s="828"/>
      <c r="T194" s="829"/>
      <c r="U194" s="798" t="e">
        <f>U193+U189+U184+U179+U175+U171+U167+U162+U158+U154+U148+U144+U140+U136+U132+U126+U105+U99+U95+U90+U84+U80+U74+U70+U66+U61+U57+U53+U48+U43+U109+U113+U118+U122</f>
        <v>#N/A</v>
      </c>
      <c r="V194" s="799"/>
      <c r="W194" s="830"/>
      <c r="X194" s="831"/>
      <c r="Y194" s="831"/>
      <c r="Z194" s="831"/>
      <c r="AA194" s="832"/>
      <c r="AB194" s="193"/>
      <c r="AC194" s="250" t="e">
        <f>AC43+AC48+AC53+AC57+AC61+AC66+AC70+AC74+AC80+AC84+AC90+AC95+AC99+AC105+AC109+AC113+AC118+AC122+AC126+AC132+AC136+AC140+AC144+AC148+AC154+AC158+AC162+AC167+AC171+AC175+AC179+AC184+AC189+AC193</f>
        <v>#N/A</v>
      </c>
      <c r="AD194" s="193"/>
      <c r="AE194" s="193"/>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row>
    <row r="195" spans="1:83" ht="15.3" x14ac:dyDescent="0.55000000000000004">
      <c r="A195" s="485"/>
      <c r="B195" s="550"/>
      <c r="C195" s="550"/>
      <c r="D195" s="550"/>
      <c r="E195" s="550"/>
      <c r="F195" s="550"/>
      <c r="G195" s="550"/>
      <c r="H195" s="550"/>
      <c r="I195" s="550"/>
      <c r="J195" s="550"/>
      <c r="K195" s="550"/>
      <c r="L195" s="550"/>
      <c r="M195" s="550"/>
      <c r="N195" s="550"/>
      <c r="O195" s="550"/>
      <c r="P195" s="550"/>
      <c r="Q195" s="550"/>
      <c r="R195" s="550"/>
      <c r="S195" s="550"/>
      <c r="T195" s="550"/>
      <c r="U195" s="550"/>
      <c r="V195" s="550"/>
      <c r="W195" s="550"/>
      <c r="X195" s="550"/>
      <c r="Y195" s="550"/>
      <c r="Z195" s="550"/>
      <c r="AA195" s="55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row>
    <row r="196" spans="1:83" ht="17.7" thickBot="1" x14ac:dyDescent="0.6">
      <c r="A196" s="848" t="s">
        <v>57</v>
      </c>
      <c r="B196" s="849"/>
      <c r="C196" s="849"/>
      <c r="D196" s="849"/>
      <c r="E196" s="849"/>
      <c r="F196" s="849"/>
      <c r="G196" s="849"/>
      <c r="H196" s="849"/>
      <c r="I196" s="849"/>
      <c r="J196" s="849"/>
      <c r="K196" s="849"/>
      <c r="L196" s="849"/>
      <c r="M196" s="849"/>
      <c r="N196" s="849"/>
      <c r="O196" s="849"/>
      <c r="P196" s="849"/>
      <c r="Q196" s="849"/>
      <c r="R196" s="849"/>
      <c r="S196" s="849"/>
      <c r="T196" s="849"/>
      <c r="U196" s="849"/>
      <c r="V196" s="849"/>
      <c r="W196" s="849"/>
      <c r="X196" s="849"/>
      <c r="Y196" s="849"/>
      <c r="Z196" s="849"/>
      <c r="AA196" s="850"/>
      <c r="AB196" s="190"/>
      <c r="AC196" s="190"/>
      <c r="AD196" s="190"/>
      <c r="AE196" s="190"/>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row>
    <row r="197" spans="1:83" ht="17.399999999999999" x14ac:dyDescent="0.55000000000000004">
      <c r="A197" s="242"/>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283"/>
      <c r="AB197" s="241"/>
      <c r="AC197" s="241"/>
      <c r="AD197" s="241"/>
      <c r="AE197" s="24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row>
    <row r="198" spans="1:83" ht="15.6" x14ac:dyDescent="0.6">
      <c r="A198" s="66"/>
      <c r="C198" s="11">
        <v>1</v>
      </c>
      <c r="D198" s="725" t="s">
        <v>642</v>
      </c>
      <c r="E198" s="726"/>
      <c r="F198" s="726"/>
      <c r="G198" s="726"/>
      <c r="H198" s="835" t="s">
        <v>124</v>
      </c>
      <c r="I198" s="836"/>
      <c r="J198" s="836"/>
      <c r="K198" s="836"/>
      <c r="L198" s="836"/>
      <c r="M198" s="836"/>
      <c r="N198" s="836"/>
      <c r="O198" s="836"/>
      <c r="P198" s="836"/>
      <c r="Q198" s="837"/>
      <c r="R198" s="835" t="s">
        <v>58</v>
      </c>
      <c r="S198" s="836"/>
      <c r="T198" s="836"/>
      <c r="U198" s="836"/>
      <c r="V198" s="836"/>
      <c r="W198" s="836"/>
      <c r="X198" s="836"/>
      <c r="Y198" s="837"/>
      <c r="AA198" s="115"/>
      <c r="AB198" s="24"/>
      <c r="AC198" s="24"/>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row>
    <row r="199" spans="1:83" ht="15.3" x14ac:dyDescent="0.55000000000000004">
      <c r="A199" s="66"/>
      <c r="C199" s="11">
        <v>2</v>
      </c>
      <c r="D199" s="726" t="s">
        <v>643</v>
      </c>
      <c r="E199" s="726"/>
      <c r="F199" s="726"/>
      <c r="G199" s="726"/>
      <c r="H199" s="835" t="s">
        <v>59</v>
      </c>
      <c r="I199" s="836"/>
      <c r="J199" s="836"/>
      <c r="K199" s="836"/>
      <c r="L199" s="836"/>
      <c r="M199" s="836"/>
      <c r="N199" s="836"/>
      <c r="O199" s="836"/>
      <c r="P199" s="836"/>
      <c r="Q199" s="837"/>
      <c r="R199" s="835" t="s">
        <v>60</v>
      </c>
      <c r="S199" s="836"/>
      <c r="T199" s="836"/>
      <c r="U199" s="836"/>
      <c r="V199" s="836"/>
      <c r="W199" s="836"/>
      <c r="X199" s="836"/>
      <c r="Y199" s="837"/>
      <c r="AA199" s="115"/>
      <c r="AB199" s="24"/>
      <c r="AC199" s="24"/>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row>
    <row r="200" spans="1:83" ht="15.3" x14ac:dyDescent="0.55000000000000004">
      <c r="A200" s="66"/>
      <c r="C200" s="11">
        <v>3</v>
      </c>
      <c r="D200" s="726" t="s">
        <v>644</v>
      </c>
      <c r="E200" s="726"/>
      <c r="F200" s="726"/>
      <c r="G200" s="726"/>
      <c r="H200" s="835" t="s">
        <v>61</v>
      </c>
      <c r="I200" s="836"/>
      <c r="J200" s="836"/>
      <c r="K200" s="836"/>
      <c r="L200" s="836"/>
      <c r="M200" s="836"/>
      <c r="N200" s="836"/>
      <c r="O200" s="836"/>
      <c r="P200" s="836"/>
      <c r="Q200" s="837"/>
      <c r="R200" s="835" t="s">
        <v>64</v>
      </c>
      <c r="S200" s="836"/>
      <c r="T200" s="836"/>
      <c r="U200" s="836"/>
      <c r="V200" s="836"/>
      <c r="W200" s="836"/>
      <c r="X200" s="836"/>
      <c r="Y200" s="837"/>
      <c r="AA200" s="115"/>
      <c r="AB200" s="24"/>
      <c r="AC200" s="24"/>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row>
    <row r="201" spans="1:83" ht="15.3" x14ac:dyDescent="0.55000000000000004">
      <c r="A201" s="66"/>
      <c r="C201" s="11">
        <v>4</v>
      </c>
      <c r="D201" s="726" t="s">
        <v>645</v>
      </c>
      <c r="E201" s="726"/>
      <c r="F201" s="726"/>
      <c r="G201" s="726"/>
      <c r="H201" s="835" t="s">
        <v>63</v>
      </c>
      <c r="I201" s="836"/>
      <c r="J201" s="836"/>
      <c r="K201" s="836"/>
      <c r="L201" s="836"/>
      <c r="M201" s="836"/>
      <c r="N201" s="836"/>
      <c r="O201" s="836"/>
      <c r="P201" s="836"/>
      <c r="Q201" s="837"/>
      <c r="R201" s="835" t="s">
        <v>62</v>
      </c>
      <c r="S201" s="836"/>
      <c r="T201" s="836"/>
      <c r="U201" s="836"/>
      <c r="V201" s="836"/>
      <c r="W201" s="836"/>
      <c r="X201" s="836"/>
      <c r="Y201" s="837"/>
      <c r="AA201" s="115"/>
      <c r="AB201" s="24"/>
      <c r="AC201" s="24"/>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row>
    <row r="202" spans="1:83" ht="15.3" x14ac:dyDescent="0.55000000000000004">
      <c r="A202" s="37"/>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65"/>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row>
    <row r="203" spans="1:83" ht="17.399999999999999" x14ac:dyDescent="0.55000000000000004">
      <c r="A203" s="37"/>
      <c r="E203" s="305" t="s">
        <v>80</v>
      </c>
      <c r="F203" s="305"/>
      <c r="G203" s="305"/>
      <c r="H203" s="305"/>
      <c r="I203" s="305"/>
      <c r="J203" s="305"/>
      <c r="K203" s="305"/>
      <c r="L203" s="305"/>
      <c r="M203" s="305"/>
      <c r="N203" s="305"/>
      <c r="O203" s="305"/>
      <c r="P203" s="305"/>
      <c r="Q203" s="305"/>
      <c r="R203" s="305"/>
      <c r="S203" s="305"/>
      <c r="T203" s="267">
        <v>45</v>
      </c>
      <c r="W203" s="15"/>
      <c r="X203" s="15"/>
      <c r="AA203" s="115"/>
      <c r="AB203" s="15"/>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row>
    <row r="204" spans="1:83" ht="17.399999999999999" x14ac:dyDescent="0.55000000000000004">
      <c r="A204" s="37"/>
      <c r="B204" s="692" t="s">
        <v>580</v>
      </c>
      <c r="C204" s="692"/>
      <c r="D204" s="692"/>
      <c r="E204" s="692"/>
      <c r="F204" s="692"/>
      <c r="G204" s="693" t="e">
        <f>U194</f>
        <v>#N/A</v>
      </c>
      <c r="H204" s="694"/>
      <c r="I204" s="717" t="e">
        <f>G204/(T203-AC194)</f>
        <v>#N/A</v>
      </c>
      <c r="J204" s="718"/>
      <c r="K204" s="719"/>
      <c r="L204" s="692"/>
      <c r="M204" s="692"/>
      <c r="N204" s="692"/>
      <c r="O204" s="692"/>
      <c r="P204" s="692"/>
      <c r="Q204" s="692"/>
      <c r="R204" s="692"/>
      <c r="S204" s="692"/>
      <c r="T204" s="692"/>
      <c r="U204" s="692"/>
      <c r="V204" s="692"/>
      <c r="W204" s="692"/>
      <c r="X204" s="692"/>
      <c r="Y204" s="692"/>
      <c r="Z204" s="692"/>
      <c r="AA204" s="692"/>
      <c r="AB204" s="15"/>
      <c r="AC204" s="15"/>
      <c r="AD204" s="15"/>
      <c r="AE204" s="15"/>
      <c r="AF204" s="15"/>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row>
    <row r="205" spans="1:83" ht="17.399999999999999" x14ac:dyDescent="0.55000000000000004">
      <c r="A205" s="37"/>
      <c r="B205" s="720" t="s">
        <v>531</v>
      </c>
      <c r="C205" s="721"/>
      <c r="D205" s="721"/>
      <c r="E205" s="721"/>
      <c r="F205" s="721"/>
      <c r="G205" s="721"/>
      <c r="H205" s="721"/>
      <c r="I205" s="722"/>
      <c r="J205" s="711">
        <f>COUNTIFS($T$40:$T$192,"C",$U$40:$U$192,"0")</f>
        <v>0</v>
      </c>
      <c r="K205" s="712"/>
      <c r="L205" s="715"/>
      <c r="M205" s="715"/>
      <c r="N205" s="715"/>
      <c r="O205" s="715"/>
      <c r="P205" s="715"/>
      <c r="Q205" s="715"/>
      <c r="R205" s="715"/>
      <c r="S205" s="715"/>
      <c r="T205" s="715"/>
      <c r="U205" s="715"/>
      <c r="V205" s="715"/>
      <c r="W205" s="715"/>
      <c r="X205" s="715"/>
      <c r="Y205" s="715"/>
      <c r="Z205" s="715"/>
      <c r="AA205" s="715"/>
      <c r="AB205" s="252"/>
      <c r="AC205" s="252"/>
      <c r="AD205" s="252"/>
      <c r="AE205" s="252"/>
      <c r="AF205" s="252"/>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row>
    <row r="206" spans="1:83" ht="17.7" thickBot="1" x14ac:dyDescent="0.6">
      <c r="A206" s="37"/>
      <c r="B206" s="720" t="s">
        <v>532</v>
      </c>
      <c r="C206" s="721"/>
      <c r="D206" s="721"/>
      <c r="E206" s="721"/>
      <c r="F206" s="721"/>
      <c r="G206" s="721"/>
      <c r="H206" s="721"/>
      <c r="I206" s="722"/>
      <c r="J206" s="713">
        <f>COUNTIFS($T$40:$T$192,"M",$U$40:$U$192,"0")</f>
        <v>0</v>
      </c>
      <c r="K206" s="714"/>
      <c r="L206" s="716"/>
      <c r="M206" s="716"/>
      <c r="N206" s="716"/>
      <c r="O206" s="716"/>
      <c r="P206" s="716"/>
      <c r="Q206" s="716"/>
      <c r="R206" s="716"/>
      <c r="S206" s="716"/>
      <c r="T206" s="716"/>
      <c r="U206" s="716"/>
      <c r="V206" s="716"/>
      <c r="W206" s="716"/>
      <c r="X206" s="716"/>
      <c r="Y206" s="716"/>
      <c r="Z206" s="716"/>
      <c r="AA206" s="716"/>
      <c r="AB206" s="252"/>
      <c r="AC206" s="252"/>
      <c r="AD206" s="252"/>
      <c r="AE206" s="252"/>
      <c r="AF206" s="252"/>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row>
    <row r="207" spans="1:83" ht="17.7" thickBot="1" x14ac:dyDescent="0.6">
      <c r="A207" s="37"/>
      <c r="B207" s="720" t="s">
        <v>65</v>
      </c>
      <c r="C207" s="721"/>
      <c r="D207" s="721"/>
      <c r="E207" s="721"/>
      <c r="F207" s="721"/>
      <c r="G207" s="721"/>
      <c r="H207" s="721"/>
      <c r="I207" s="721"/>
      <c r="J207" s="841" t="e">
        <f>IF(J205&gt;1, "No aprueba la inspección, corregir NC Críticas inmediatamente", IF(AND(I204&gt;60, J206&lt;=5), "Aprueba la inspección", "No se aprueba la inspección presentar plan de corrección de NC"))</f>
        <v>#N/A</v>
      </c>
      <c r="K207" s="842"/>
      <c r="L207" s="842"/>
      <c r="M207" s="842"/>
      <c r="N207" s="842"/>
      <c r="O207" s="842"/>
      <c r="P207" s="842"/>
      <c r="Q207" s="842"/>
      <c r="R207" s="842"/>
      <c r="S207" s="842"/>
      <c r="T207" s="842"/>
      <c r="U207" s="842"/>
      <c r="V207" s="842"/>
      <c r="W207" s="842"/>
      <c r="X207" s="842"/>
      <c r="Y207" s="842"/>
      <c r="Z207" s="842"/>
      <c r="AA207" s="843"/>
      <c r="AC207" s="15"/>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row>
    <row r="208" spans="1:83" ht="17.399999999999999" x14ac:dyDescent="0.55000000000000004">
      <c r="A208" s="37"/>
      <c r="B208" s="1"/>
      <c r="C208" s="1"/>
      <c r="D208" s="1"/>
      <c r="F208" s="834"/>
      <c r="G208" s="834"/>
      <c r="H208" s="834"/>
      <c r="I208" s="284"/>
      <c r="J208" s="15"/>
      <c r="K208" s="15"/>
      <c r="L208" s="15"/>
      <c r="M208" s="15"/>
      <c r="N208" s="15"/>
      <c r="O208" s="15"/>
      <c r="P208" s="204"/>
      <c r="Q208" s="285"/>
      <c r="R208" s="285"/>
      <c r="S208" s="172"/>
      <c r="T208" s="172"/>
      <c r="U208" s="172"/>
      <c r="V208" s="172"/>
      <c r="W208" s="172"/>
      <c r="X208" s="172"/>
      <c r="Y208" s="172"/>
      <c r="Z208" s="172"/>
      <c r="AA208" s="286"/>
      <c r="AB208" s="172"/>
      <c r="AC208" s="15"/>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row>
    <row r="209" spans="1:83" ht="15.3" x14ac:dyDescent="0.55000000000000004">
      <c r="A209" s="143"/>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2"/>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row>
    <row r="210" spans="1:83" ht="17.399999999999999" x14ac:dyDescent="0.55000000000000004">
      <c r="A210" s="759" t="s">
        <v>52</v>
      </c>
      <c r="B210" s="759"/>
      <c r="C210" s="759"/>
      <c r="D210" s="759"/>
      <c r="E210" s="759"/>
      <c r="F210" s="759"/>
      <c r="G210" s="759"/>
      <c r="H210" s="759"/>
      <c r="I210" s="759"/>
      <c r="J210" s="759"/>
      <c r="K210" s="759"/>
      <c r="L210" s="759"/>
      <c r="M210" s="759"/>
      <c r="N210" s="759"/>
      <c r="O210" s="759"/>
      <c r="P210" s="759"/>
      <c r="Q210" s="759"/>
      <c r="R210" s="759"/>
      <c r="S210" s="759"/>
      <c r="T210" s="759"/>
      <c r="U210" s="759"/>
      <c r="V210" s="759"/>
      <c r="W210" s="759"/>
      <c r="X210" s="759"/>
      <c r="Y210" s="759"/>
      <c r="Z210" s="759"/>
      <c r="AA210" s="759"/>
      <c r="AB210" s="190"/>
      <c r="AC210" s="190"/>
      <c r="AD210" s="190"/>
      <c r="AE210" s="190"/>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row>
    <row r="211" spans="1:83" ht="15.75" customHeight="1" x14ac:dyDescent="0.55000000000000004">
      <c r="A211" s="12" t="s">
        <v>3</v>
      </c>
      <c r="B211" s="838" t="s">
        <v>53</v>
      </c>
      <c r="C211" s="839"/>
      <c r="D211" s="839"/>
      <c r="E211" s="839"/>
      <c r="F211" s="839"/>
      <c r="G211" s="839"/>
      <c r="H211" s="839"/>
      <c r="I211" s="839"/>
      <c r="J211" s="839"/>
      <c r="K211" s="839"/>
      <c r="L211" s="839"/>
      <c r="M211" s="839"/>
      <c r="N211" s="839"/>
      <c r="O211" s="839"/>
      <c r="P211" s="839"/>
      <c r="Q211" s="839"/>
      <c r="R211" s="839"/>
      <c r="S211" s="839"/>
      <c r="T211" s="839"/>
      <c r="U211" s="839"/>
      <c r="V211" s="839"/>
      <c r="W211" s="839"/>
      <c r="X211" s="840"/>
      <c r="Y211" s="851" t="s">
        <v>54</v>
      </c>
      <c r="Z211" s="851"/>
      <c r="AA211" s="851"/>
      <c r="AB211" s="63"/>
      <c r="AD211" s="240"/>
      <c r="AE211" s="240"/>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row>
    <row r="212" spans="1:83" ht="15.3" x14ac:dyDescent="0.55000000000000004">
      <c r="A212" s="8">
        <v>1</v>
      </c>
      <c r="B212" s="677"/>
      <c r="C212" s="677"/>
      <c r="D212" s="677"/>
      <c r="E212" s="677"/>
      <c r="F212" s="677"/>
      <c r="G212" s="677"/>
      <c r="H212" s="677"/>
      <c r="I212" s="677"/>
      <c r="J212" s="677"/>
      <c r="K212" s="677"/>
      <c r="L212" s="677"/>
      <c r="M212" s="677"/>
      <c r="N212" s="677"/>
      <c r="O212" s="677"/>
      <c r="P212" s="677"/>
      <c r="Q212" s="677"/>
      <c r="R212" s="677"/>
      <c r="S212" s="677"/>
      <c r="T212" s="677"/>
      <c r="U212" s="677"/>
      <c r="V212" s="677"/>
      <c r="W212" s="677"/>
      <c r="X212" s="677"/>
      <c r="Y212" s="852"/>
      <c r="Z212" s="833"/>
      <c r="AA212" s="833"/>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row>
    <row r="213" spans="1:83" ht="15.3" x14ac:dyDescent="0.55000000000000004">
      <c r="A213" s="8">
        <v>2</v>
      </c>
      <c r="B213" s="677"/>
      <c r="C213" s="677"/>
      <c r="D213" s="677"/>
      <c r="E213" s="677"/>
      <c r="F213" s="677"/>
      <c r="G213" s="677"/>
      <c r="H213" s="677"/>
      <c r="I213" s="677"/>
      <c r="J213" s="677"/>
      <c r="K213" s="677"/>
      <c r="L213" s="677"/>
      <c r="M213" s="677"/>
      <c r="N213" s="677"/>
      <c r="O213" s="677"/>
      <c r="P213" s="677"/>
      <c r="Q213" s="677"/>
      <c r="R213" s="677"/>
      <c r="S213" s="677"/>
      <c r="T213" s="677"/>
      <c r="U213" s="677"/>
      <c r="V213" s="677"/>
      <c r="W213" s="677"/>
      <c r="X213" s="677"/>
      <c r="Y213" s="833"/>
      <c r="Z213" s="833"/>
      <c r="AA213" s="833"/>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row>
    <row r="214" spans="1:83" ht="15.3" x14ac:dyDescent="0.55000000000000004">
      <c r="A214" s="8">
        <v>3</v>
      </c>
      <c r="B214" s="677"/>
      <c r="C214" s="677"/>
      <c r="D214" s="677"/>
      <c r="E214" s="677"/>
      <c r="F214" s="677"/>
      <c r="G214" s="677"/>
      <c r="H214" s="677"/>
      <c r="I214" s="677"/>
      <c r="J214" s="677"/>
      <c r="K214" s="677"/>
      <c r="L214" s="677"/>
      <c r="M214" s="677"/>
      <c r="N214" s="677"/>
      <c r="O214" s="677"/>
      <c r="P214" s="677"/>
      <c r="Q214" s="677"/>
      <c r="R214" s="677"/>
      <c r="S214" s="677"/>
      <c r="T214" s="677"/>
      <c r="U214" s="677"/>
      <c r="V214" s="677"/>
      <c r="W214" s="677"/>
      <c r="X214" s="677"/>
      <c r="Y214" s="833"/>
      <c r="Z214" s="833"/>
      <c r="AA214" s="833"/>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row>
    <row r="215" spans="1:83" ht="15.3" x14ac:dyDescent="0.55000000000000004">
      <c r="A215" s="8">
        <v>4</v>
      </c>
      <c r="B215" s="677"/>
      <c r="C215" s="677"/>
      <c r="D215" s="677"/>
      <c r="E215" s="677"/>
      <c r="F215" s="677"/>
      <c r="G215" s="677"/>
      <c r="H215" s="677"/>
      <c r="I215" s="677"/>
      <c r="J215" s="677"/>
      <c r="K215" s="677"/>
      <c r="L215" s="677"/>
      <c r="M215" s="677"/>
      <c r="N215" s="677"/>
      <c r="O215" s="677"/>
      <c r="P215" s="677"/>
      <c r="Q215" s="677"/>
      <c r="R215" s="677"/>
      <c r="S215" s="677"/>
      <c r="T215" s="677"/>
      <c r="U215" s="677"/>
      <c r="V215" s="677"/>
      <c r="W215" s="677"/>
      <c r="X215" s="677"/>
      <c r="Y215" s="833"/>
      <c r="Z215" s="833"/>
      <c r="AA215" s="833"/>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row>
    <row r="216" spans="1:83" ht="15.3" x14ac:dyDescent="0.55000000000000004">
      <c r="A216" s="8">
        <v>5</v>
      </c>
      <c r="B216" s="677"/>
      <c r="C216" s="677"/>
      <c r="D216" s="677"/>
      <c r="E216" s="677"/>
      <c r="F216" s="677"/>
      <c r="G216" s="677"/>
      <c r="H216" s="677"/>
      <c r="I216" s="677"/>
      <c r="J216" s="677"/>
      <c r="K216" s="677"/>
      <c r="L216" s="677"/>
      <c r="M216" s="677"/>
      <c r="N216" s="677"/>
      <c r="O216" s="677"/>
      <c r="P216" s="677"/>
      <c r="Q216" s="677"/>
      <c r="R216" s="677"/>
      <c r="S216" s="677"/>
      <c r="T216" s="677"/>
      <c r="U216" s="677"/>
      <c r="V216" s="677"/>
      <c r="W216" s="677"/>
      <c r="X216" s="677"/>
      <c r="Y216" s="833"/>
      <c r="Z216" s="833"/>
      <c r="AA216" s="833"/>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row>
    <row r="217" spans="1:83" ht="15.3" x14ac:dyDescent="0.55000000000000004">
      <c r="A217" s="8">
        <v>6</v>
      </c>
      <c r="B217" s="677"/>
      <c r="C217" s="677"/>
      <c r="D217" s="677"/>
      <c r="E217" s="677"/>
      <c r="F217" s="677"/>
      <c r="G217" s="677"/>
      <c r="H217" s="677"/>
      <c r="I217" s="677"/>
      <c r="J217" s="677"/>
      <c r="K217" s="677"/>
      <c r="L217" s="677"/>
      <c r="M217" s="677"/>
      <c r="N217" s="677"/>
      <c r="O217" s="677"/>
      <c r="P217" s="677"/>
      <c r="Q217" s="677"/>
      <c r="R217" s="677"/>
      <c r="S217" s="677"/>
      <c r="T217" s="677"/>
      <c r="U217" s="677"/>
      <c r="V217" s="677"/>
      <c r="W217" s="677"/>
      <c r="X217" s="677"/>
      <c r="Y217" s="833"/>
      <c r="Z217" s="833"/>
      <c r="AA217" s="833"/>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row>
    <row r="218" spans="1:83" ht="15.3" x14ac:dyDescent="0.55000000000000004">
      <c r="A218" s="8">
        <v>7</v>
      </c>
      <c r="B218" s="677"/>
      <c r="C218" s="677"/>
      <c r="D218" s="677"/>
      <c r="E218" s="677"/>
      <c r="F218" s="677"/>
      <c r="G218" s="677"/>
      <c r="H218" s="677"/>
      <c r="I218" s="677"/>
      <c r="J218" s="677"/>
      <c r="K218" s="677"/>
      <c r="L218" s="677"/>
      <c r="M218" s="677"/>
      <c r="N218" s="677"/>
      <c r="O218" s="677"/>
      <c r="P218" s="677"/>
      <c r="Q218" s="677"/>
      <c r="R218" s="677"/>
      <c r="S218" s="677"/>
      <c r="T218" s="677"/>
      <c r="U218" s="677"/>
      <c r="V218" s="677"/>
      <c r="W218" s="677"/>
      <c r="X218" s="677"/>
      <c r="Y218" s="833"/>
      <c r="Z218" s="833"/>
      <c r="AA218" s="833"/>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row>
    <row r="219" spans="1:83" ht="15.3" x14ac:dyDescent="0.55000000000000004">
      <c r="A219" s="8">
        <v>8</v>
      </c>
      <c r="B219" s="677"/>
      <c r="C219" s="677"/>
      <c r="D219" s="677"/>
      <c r="E219" s="677"/>
      <c r="F219" s="677"/>
      <c r="G219" s="677"/>
      <c r="H219" s="677"/>
      <c r="I219" s="677"/>
      <c r="J219" s="677"/>
      <c r="K219" s="677"/>
      <c r="L219" s="677"/>
      <c r="M219" s="677"/>
      <c r="N219" s="677"/>
      <c r="O219" s="677"/>
      <c r="P219" s="677"/>
      <c r="Q219" s="677"/>
      <c r="R219" s="677"/>
      <c r="S219" s="677"/>
      <c r="T219" s="677"/>
      <c r="U219" s="677"/>
      <c r="V219" s="677"/>
      <c r="W219" s="677"/>
      <c r="X219" s="677"/>
      <c r="Y219" s="833"/>
      <c r="Z219" s="833"/>
      <c r="AA219" s="833"/>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row>
    <row r="220" spans="1:83" ht="15.3" x14ac:dyDescent="0.55000000000000004">
      <c r="A220" s="8">
        <v>9</v>
      </c>
      <c r="B220" s="677"/>
      <c r="C220" s="677"/>
      <c r="D220" s="677"/>
      <c r="E220" s="677"/>
      <c r="F220" s="677"/>
      <c r="G220" s="677"/>
      <c r="H220" s="677"/>
      <c r="I220" s="677"/>
      <c r="J220" s="677"/>
      <c r="K220" s="677"/>
      <c r="L220" s="677"/>
      <c r="M220" s="677"/>
      <c r="N220" s="677"/>
      <c r="O220" s="677"/>
      <c r="P220" s="677"/>
      <c r="Q220" s="677"/>
      <c r="R220" s="677"/>
      <c r="S220" s="677"/>
      <c r="T220" s="677"/>
      <c r="U220" s="677"/>
      <c r="V220" s="677"/>
      <c r="W220" s="677"/>
      <c r="X220" s="677"/>
      <c r="Y220" s="833"/>
      <c r="Z220" s="833"/>
      <c r="AA220" s="833"/>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row>
    <row r="221" spans="1:83" ht="15.3" x14ac:dyDescent="0.55000000000000004">
      <c r="A221" s="8">
        <v>10</v>
      </c>
      <c r="B221" s="677"/>
      <c r="C221" s="677"/>
      <c r="D221" s="677"/>
      <c r="E221" s="677"/>
      <c r="F221" s="677"/>
      <c r="G221" s="677"/>
      <c r="H221" s="677"/>
      <c r="I221" s="677"/>
      <c r="J221" s="677"/>
      <c r="K221" s="677"/>
      <c r="L221" s="677"/>
      <c r="M221" s="677"/>
      <c r="N221" s="677"/>
      <c r="O221" s="677"/>
      <c r="P221" s="677"/>
      <c r="Q221" s="677"/>
      <c r="R221" s="677"/>
      <c r="S221" s="677"/>
      <c r="T221" s="677"/>
      <c r="U221" s="677"/>
      <c r="V221" s="677"/>
      <c r="W221" s="677"/>
      <c r="X221" s="677"/>
      <c r="Y221" s="833"/>
      <c r="Z221" s="833"/>
      <c r="AA221" s="833"/>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row>
    <row r="222" spans="1:83" ht="17.399999999999999" x14ac:dyDescent="0.55000000000000004">
      <c r="A222" s="706" t="s">
        <v>69</v>
      </c>
      <c r="B222" s="707"/>
      <c r="C222" s="707"/>
      <c r="D222" s="707"/>
      <c r="E222" s="707"/>
      <c r="F222" s="707"/>
      <c r="G222" s="707"/>
      <c r="H222" s="707"/>
      <c r="I222" s="707"/>
      <c r="J222" s="707"/>
      <c r="K222" s="707"/>
      <c r="L222" s="707"/>
      <c r="M222" s="707"/>
      <c r="N222" s="707"/>
      <c r="O222" s="707"/>
      <c r="P222" s="707"/>
      <c r="Q222" s="707"/>
      <c r="R222" s="707"/>
      <c r="S222" s="707"/>
      <c r="T222" s="707"/>
      <c r="U222" s="707"/>
      <c r="V222" s="707"/>
      <c r="W222" s="707"/>
      <c r="X222" s="708"/>
      <c r="Y222" s="845"/>
      <c r="Z222" s="846"/>
      <c r="AA222" s="847"/>
      <c r="AB222" s="24"/>
      <c r="AC222" s="15"/>
      <c r="AD222" s="15"/>
      <c r="AE222" s="15"/>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row>
    <row r="223" spans="1:83" ht="17.399999999999999" x14ac:dyDescent="0.55000000000000004">
      <c r="A223" s="37" t="s">
        <v>138</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65"/>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row>
    <row r="224" spans="1:83" ht="17.7" x14ac:dyDescent="0.6">
      <c r="A224" s="287" t="s">
        <v>602</v>
      </c>
      <c r="B224" s="193" t="s">
        <v>603</v>
      </c>
      <c r="C224" s="1"/>
      <c r="D224" s="1"/>
      <c r="E224" s="1"/>
      <c r="F224" s="1"/>
      <c r="G224" s="1"/>
      <c r="H224" s="1"/>
      <c r="I224" s="288" t="s">
        <v>604</v>
      </c>
      <c r="J224" s="193" t="s">
        <v>605</v>
      </c>
      <c r="K224" s="193"/>
      <c r="L224" s="1"/>
      <c r="M224" s="1"/>
      <c r="N224" s="1"/>
      <c r="O224" s="1"/>
      <c r="P224" s="1"/>
      <c r="Q224" s="1"/>
      <c r="R224" s="1"/>
      <c r="S224" s="288" t="s">
        <v>606</v>
      </c>
      <c r="T224" s="1"/>
      <c r="W224" s="193"/>
      <c r="X224" s="193"/>
      <c r="Y224" s="1"/>
      <c r="Z224" s="1"/>
      <c r="AA224" s="165"/>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row>
    <row r="225" spans="1:83" ht="17.7" x14ac:dyDescent="0.6">
      <c r="A225" s="287"/>
      <c r="B225" s="193"/>
      <c r="C225" s="1"/>
      <c r="D225" s="1"/>
      <c r="E225" s="1"/>
      <c r="F225" s="1"/>
      <c r="G225" s="1"/>
      <c r="H225" s="1"/>
      <c r="I225" s="288"/>
      <c r="J225" s="193"/>
      <c r="K225" s="193"/>
      <c r="L225" s="1"/>
      <c r="M225" s="1"/>
      <c r="N225" s="1"/>
      <c r="O225" s="1"/>
      <c r="P225" s="1"/>
      <c r="Q225" s="1"/>
      <c r="R225" s="1"/>
      <c r="S225" s="288"/>
      <c r="T225" s="1"/>
      <c r="W225" s="193"/>
      <c r="X225" s="193"/>
      <c r="Y225" s="1"/>
      <c r="Z225" s="1"/>
      <c r="AA225" s="165"/>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row>
    <row r="226" spans="1:83" ht="17.7" x14ac:dyDescent="0.6">
      <c r="A226" s="287"/>
      <c r="B226" s="193"/>
      <c r="C226" s="1"/>
      <c r="D226" s="1"/>
      <c r="E226" s="1"/>
      <c r="F226" s="1"/>
      <c r="G226" s="1"/>
      <c r="H226" s="1"/>
      <c r="I226" s="288"/>
      <c r="J226" s="193"/>
      <c r="K226" s="193"/>
      <c r="L226" s="1"/>
      <c r="M226" s="1"/>
      <c r="N226" s="1"/>
      <c r="O226" s="1"/>
      <c r="P226" s="1"/>
      <c r="Q226" s="1"/>
      <c r="R226" s="1"/>
      <c r="S226" s="288"/>
      <c r="T226" s="1"/>
      <c r="W226" s="193"/>
      <c r="X226" s="193"/>
      <c r="Y226" s="1"/>
      <c r="Z226" s="1"/>
      <c r="AA226" s="165"/>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row>
    <row r="227" spans="1:83" ht="17.7" x14ac:dyDescent="0.6">
      <c r="A227" s="287"/>
      <c r="B227" s="193"/>
      <c r="C227" s="1"/>
      <c r="D227" s="1"/>
      <c r="E227" s="1"/>
      <c r="F227" s="1"/>
      <c r="G227" s="1"/>
      <c r="H227" s="1"/>
      <c r="I227" s="288"/>
      <c r="J227" s="193"/>
      <c r="K227" s="193"/>
      <c r="L227" s="1"/>
      <c r="M227" s="1"/>
      <c r="N227" s="1"/>
      <c r="O227" s="1"/>
      <c r="P227" s="1"/>
      <c r="Q227" s="1"/>
      <c r="R227" s="1"/>
      <c r="S227" s="288"/>
      <c r="T227" s="1"/>
      <c r="W227" s="193"/>
      <c r="X227" s="193"/>
      <c r="Y227" s="1"/>
      <c r="Z227" s="1"/>
      <c r="AA227" s="165"/>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row>
    <row r="228" spans="1:83" ht="15.3" x14ac:dyDescent="0.55000000000000004">
      <c r="A228" s="800" t="s">
        <v>21</v>
      </c>
      <c r="B228" s="801"/>
      <c r="C228" s="801"/>
      <c r="D228" s="801"/>
      <c r="E228" s="801"/>
      <c r="F228" s="801"/>
      <c r="G228" s="801"/>
      <c r="H228" s="801"/>
      <c r="I228" s="801"/>
      <c r="J228" s="801"/>
      <c r="K228" s="801"/>
      <c r="L228" s="801"/>
      <c r="M228" s="801"/>
      <c r="N228" s="801"/>
      <c r="O228" s="801"/>
      <c r="P228" s="1"/>
      <c r="Q228" s="844" t="s">
        <v>66</v>
      </c>
      <c r="R228" s="844"/>
      <c r="S228" s="844"/>
      <c r="T228" s="844"/>
      <c r="U228" s="844"/>
      <c r="V228" s="24"/>
      <c r="W228" s="844" t="s">
        <v>67</v>
      </c>
      <c r="X228" s="844"/>
      <c r="Y228" s="844"/>
      <c r="Z228" s="844"/>
      <c r="AA228" s="179"/>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row>
    <row r="229" spans="1:83" ht="15.3" x14ac:dyDescent="0.55000000000000004">
      <c r="A229" s="66"/>
      <c r="AA229" s="115"/>
      <c r="AB229" s="1"/>
      <c r="AC229" s="487"/>
      <c r="AD229" s="487"/>
      <c r="AE229" s="487"/>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row>
    <row r="230" spans="1:83" ht="15.3" x14ac:dyDescent="0.55000000000000004">
      <c r="A230" s="66"/>
      <c r="AA230" s="115"/>
      <c r="AB230" s="1"/>
      <c r="AD230" s="24"/>
      <c r="AE230" s="2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row>
    <row r="231" spans="1:83" ht="15.3" x14ac:dyDescent="0.55000000000000004">
      <c r="A231" s="695"/>
      <c r="B231" s="696"/>
      <c r="C231" s="696"/>
      <c r="D231" s="696"/>
      <c r="E231" s="696"/>
      <c r="F231" s="696"/>
      <c r="G231" s="696"/>
      <c r="H231" s="696"/>
      <c r="I231" s="696"/>
      <c r="J231" s="696"/>
      <c r="K231" s="696"/>
      <c r="L231" s="696"/>
      <c r="M231" s="696"/>
      <c r="N231" s="696"/>
      <c r="O231" s="696"/>
      <c r="P231" s="1"/>
      <c r="Q231" s="1"/>
      <c r="R231" s="487"/>
      <c r="S231" s="487"/>
      <c r="T231" s="487"/>
      <c r="U231" s="487"/>
      <c r="V231" s="487"/>
      <c r="W231" s="487"/>
      <c r="X231" s="487"/>
      <c r="Y231" s="487"/>
      <c r="Z231" s="487"/>
      <c r="AA231" s="488"/>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row>
    <row r="232" spans="1:83" ht="15.3" x14ac:dyDescent="0.55000000000000004">
      <c r="A232" s="800" t="s">
        <v>68</v>
      </c>
      <c r="B232" s="801"/>
      <c r="C232" s="801"/>
      <c r="D232" s="801"/>
      <c r="E232" s="801"/>
      <c r="F232" s="801"/>
      <c r="G232" s="801"/>
      <c r="H232" s="801"/>
      <c r="I232" s="801"/>
      <c r="J232" s="801"/>
      <c r="K232" s="801"/>
      <c r="L232" s="801"/>
      <c r="M232" s="801"/>
      <c r="N232" s="801"/>
      <c r="O232" s="801"/>
      <c r="P232" s="1"/>
      <c r="Q232" s="844" t="s">
        <v>66</v>
      </c>
      <c r="R232" s="844"/>
      <c r="S232" s="844"/>
      <c r="T232" s="844"/>
      <c r="U232" s="844"/>
      <c r="V232" s="24"/>
      <c r="W232" s="844" t="s">
        <v>67</v>
      </c>
      <c r="X232" s="844"/>
      <c r="Y232" s="844"/>
      <c r="Z232" s="844"/>
      <c r="AA232" s="179"/>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row>
    <row r="233" spans="1:83" ht="15.3" x14ac:dyDescent="0.55000000000000004">
      <c r="A233" s="83"/>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5"/>
      <c r="AB233" s="1"/>
      <c r="AC233" s="487"/>
      <c r="AD233" s="487"/>
      <c r="AE233" s="487"/>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row>
    <row r="234" spans="1:83" ht="15.3" x14ac:dyDescent="0.55000000000000004">
      <c r="A234" s="66"/>
      <c r="AA234" s="115"/>
      <c r="AB234" s="1"/>
      <c r="AD234" s="24"/>
      <c r="AE234" s="2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row>
    <row r="235" spans="1:83" ht="15.3" x14ac:dyDescent="0.55000000000000004">
      <c r="A235" s="66"/>
      <c r="AA235" s="115"/>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row>
    <row r="236" spans="1:83" ht="15.3" x14ac:dyDescent="0.55000000000000004">
      <c r="A236" s="66"/>
      <c r="C236" s="1"/>
      <c r="D236" s="1"/>
      <c r="E236" s="1"/>
      <c r="F236" s="1"/>
      <c r="G236" s="1"/>
      <c r="H236" s="1"/>
      <c r="I236" s="1"/>
      <c r="J236" s="1"/>
      <c r="K236" s="1"/>
      <c r="L236" s="1"/>
      <c r="M236" s="1"/>
      <c r="N236" s="1"/>
      <c r="O236" s="1"/>
      <c r="P236" s="1"/>
      <c r="Q236" s="1"/>
      <c r="R236" s="1"/>
      <c r="S236" s="1"/>
      <c r="T236" s="1"/>
      <c r="U236" s="1"/>
      <c r="V236" s="1"/>
      <c r="W236" s="1"/>
      <c r="X236" s="1"/>
      <c r="Y236" s="1"/>
      <c r="Z236" s="1"/>
      <c r="AA236" s="165"/>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row>
    <row r="237" spans="1:83" ht="15.3" x14ac:dyDescent="0.55000000000000004">
      <c r="A237" s="66"/>
      <c r="C237" s="1"/>
      <c r="D237" s="1"/>
      <c r="E237" s="1"/>
      <c r="F237" s="1"/>
      <c r="G237" s="1"/>
      <c r="H237" s="1"/>
      <c r="I237" s="1"/>
      <c r="J237" s="1"/>
      <c r="K237" s="1"/>
      <c r="L237" s="1"/>
      <c r="M237" s="1"/>
      <c r="N237" s="1"/>
      <c r="O237" s="1"/>
      <c r="P237" s="1"/>
      <c r="Q237" s="1"/>
      <c r="R237" s="1"/>
      <c r="S237" s="1"/>
      <c r="T237" s="1"/>
      <c r="U237" s="1"/>
      <c r="V237" s="1"/>
      <c r="W237" s="1"/>
      <c r="X237" s="1"/>
      <c r="Y237" s="1"/>
      <c r="Z237" s="1"/>
      <c r="AA237" s="165"/>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row>
    <row r="238" spans="1:83" ht="15.3" x14ac:dyDescent="0.55000000000000004">
      <c r="A238" s="66"/>
      <c r="C238" s="1"/>
      <c r="D238" s="1"/>
      <c r="E238" s="1"/>
      <c r="F238" s="1"/>
      <c r="G238" s="1"/>
      <c r="H238" s="1"/>
      <c r="I238" s="1"/>
      <c r="J238" s="1"/>
      <c r="K238" s="1"/>
      <c r="L238" s="1"/>
      <c r="M238" s="1"/>
      <c r="N238" s="1"/>
      <c r="O238" s="1"/>
      <c r="P238" s="1"/>
      <c r="Q238" s="1"/>
      <c r="R238" s="1"/>
      <c r="S238" s="1"/>
      <c r="T238" s="1"/>
      <c r="U238" s="1"/>
      <c r="V238" s="1"/>
      <c r="W238" s="1"/>
      <c r="X238" s="1"/>
      <c r="Y238" s="1"/>
      <c r="Z238" s="1"/>
      <c r="AA238" s="165"/>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row>
    <row r="239" spans="1:83" ht="15.6" x14ac:dyDescent="0.55000000000000004">
      <c r="A239" s="289" t="s">
        <v>130</v>
      </c>
      <c r="B239" s="290"/>
      <c r="C239" s="290"/>
      <c r="D239" s="290"/>
      <c r="E239" s="290"/>
      <c r="F239" s="290"/>
      <c r="G239" s="290"/>
      <c r="H239" s="290"/>
      <c r="I239" s="290"/>
      <c r="J239" s="290"/>
      <c r="K239" s="290"/>
      <c r="L239" s="290"/>
      <c r="M239" s="290"/>
      <c r="N239" s="290"/>
      <c r="O239" s="290"/>
      <c r="P239" s="290"/>
      <c r="Q239" s="290"/>
      <c r="R239" s="290"/>
      <c r="S239" s="290"/>
      <c r="T239" s="290"/>
      <c r="U239" s="290"/>
      <c r="V239" s="290"/>
      <c r="W239" s="290"/>
      <c r="X239" s="290"/>
      <c r="Y239" s="290"/>
      <c r="Z239" s="290"/>
      <c r="AA239" s="29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row>
    <row r="240" spans="1:83" ht="15.6" x14ac:dyDescent="0.55000000000000004">
      <c r="A240" s="289"/>
      <c r="B240" s="290"/>
      <c r="C240" s="290"/>
      <c r="D240" s="290"/>
      <c r="E240" s="290"/>
      <c r="F240" s="290"/>
      <c r="G240" s="290"/>
      <c r="H240" s="290"/>
      <c r="I240" s="290"/>
      <c r="J240" s="290"/>
      <c r="K240" s="290"/>
      <c r="L240" s="290"/>
      <c r="M240" s="290"/>
      <c r="N240" s="290"/>
      <c r="O240" s="290"/>
      <c r="P240" s="290"/>
      <c r="Q240" s="290"/>
      <c r="R240" s="290"/>
      <c r="S240" s="290"/>
      <c r="T240" s="290"/>
      <c r="U240" s="290"/>
      <c r="V240" s="290"/>
      <c r="W240" s="290"/>
      <c r="X240" s="290"/>
      <c r="Y240" s="290"/>
      <c r="Z240" s="290"/>
      <c r="AA240" s="29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row>
    <row r="241" spans="1:83" ht="31.5" customHeight="1" x14ac:dyDescent="0.55000000000000004">
      <c r="A241" s="689" t="s">
        <v>607</v>
      </c>
      <c r="B241" s="690"/>
      <c r="C241" s="690"/>
      <c r="D241" s="690"/>
      <c r="E241" s="690"/>
      <c r="F241" s="690"/>
      <c r="G241" s="690"/>
      <c r="H241" s="690"/>
      <c r="I241" s="690"/>
      <c r="J241" s="690"/>
      <c r="K241" s="690"/>
      <c r="L241" s="690"/>
      <c r="M241" s="690"/>
      <c r="N241" s="690"/>
      <c r="O241" s="690"/>
      <c r="P241" s="690"/>
      <c r="Q241" s="690"/>
      <c r="R241" s="690"/>
      <c r="S241" s="690"/>
      <c r="T241" s="690"/>
      <c r="U241" s="690"/>
      <c r="V241" s="690"/>
      <c r="W241" s="690"/>
      <c r="X241" s="690"/>
      <c r="Y241" s="690"/>
      <c r="Z241" s="690"/>
      <c r="AA241" s="691"/>
      <c r="AB241" s="10"/>
      <c r="AC241" s="10"/>
      <c r="AD241" s="10"/>
      <c r="AE241" s="10"/>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row>
    <row r="242" spans="1:83" ht="15.3" x14ac:dyDescent="0.55000000000000004">
      <c r="A242" s="254"/>
      <c r="B242" s="290"/>
      <c r="C242" s="290"/>
      <c r="D242" s="290"/>
      <c r="E242" s="290"/>
      <c r="F242" s="290"/>
      <c r="G242" s="290"/>
      <c r="H242" s="290"/>
      <c r="I242" s="290"/>
      <c r="J242" s="290"/>
      <c r="K242" s="290"/>
      <c r="L242" s="290"/>
      <c r="M242" s="290"/>
      <c r="N242" s="290"/>
      <c r="O242" s="290"/>
      <c r="P242" s="290"/>
      <c r="Q242" s="290"/>
      <c r="R242" s="290"/>
      <c r="S242" s="290"/>
      <c r="T242" s="290"/>
      <c r="U242" s="290"/>
      <c r="V242" s="290"/>
      <c r="W242" s="290"/>
      <c r="X242" s="290"/>
      <c r="Y242" s="290"/>
      <c r="Z242" s="290"/>
      <c r="AA242" s="29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row>
    <row r="243" spans="1:83" ht="15.75" customHeight="1" x14ac:dyDescent="0.55000000000000004">
      <c r="A243" s="745" t="s">
        <v>125</v>
      </c>
      <c r="B243" s="745"/>
      <c r="C243" s="745"/>
      <c r="D243" s="745"/>
      <c r="E243" s="745"/>
      <c r="F243" s="745"/>
      <c r="G243" s="745"/>
      <c r="H243" s="745"/>
      <c r="I243" s="745"/>
      <c r="J243" s="750" t="s">
        <v>126</v>
      </c>
      <c r="K243" s="750"/>
      <c r="L243" s="750"/>
      <c r="M243" s="750"/>
      <c r="N243" s="750"/>
      <c r="O243" s="750"/>
      <c r="P243" s="750"/>
      <c r="Q243" s="750"/>
      <c r="R243" s="750"/>
      <c r="S243" s="751"/>
      <c r="T243" s="742" t="s">
        <v>127</v>
      </c>
      <c r="U243" s="743"/>
      <c r="V243" s="743"/>
      <c r="W243" s="743"/>
      <c r="X243" s="743"/>
      <c r="Y243" s="743"/>
      <c r="Z243" s="743"/>
      <c r="AA243" s="744"/>
      <c r="AB243" s="255"/>
      <c r="AC243" s="255"/>
      <c r="AD243" s="255"/>
      <c r="AE243" s="255"/>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row>
    <row r="244" spans="1:83" ht="31" customHeight="1" x14ac:dyDescent="0.55000000000000004">
      <c r="A244" s="748" t="s">
        <v>584</v>
      </c>
      <c r="B244" s="749"/>
      <c r="C244" s="749"/>
      <c r="D244" s="749"/>
      <c r="E244" s="749"/>
      <c r="F244" s="749"/>
      <c r="G244" s="749"/>
      <c r="H244" s="749"/>
      <c r="I244" s="749"/>
      <c r="J244" s="752" t="s">
        <v>620</v>
      </c>
      <c r="K244" s="753"/>
      <c r="L244" s="753"/>
      <c r="M244" s="753"/>
      <c r="N244" s="753"/>
      <c r="O244" s="753"/>
      <c r="P244" s="753"/>
      <c r="Q244" s="753"/>
      <c r="R244" s="753"/>
      <c r="S244" s="753"/>
      <c r="T244" s="752" t="s">
        <v>129</v>
      </c>
      <c r="U244" s="753"/>
      <c r="V244" s="753"/>
      <c r="W244" s="753"/>
      <c r="X244" s="753"/>
      <c r="Y244" s="753"/>
      <c r="Z244" s="753"/>
      <c r="AA244" s="754"/>
      <c r="AB244" s="240"/>
      <c r="AC244" s="240"/>
      <c r="AD244" s="240"/>
      <c r="AE244" s="240"/>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row>
    <row r="245" spans="1:83" ht="28.5" customHeight="1" x14ac:dyDescent="0.55000000000000004">
      <c r="A245" s="748" t="s">
        <v>139</v>
      </c>
      <c r="B245" s="749"/>
      <c r="C245" s="749"/>
      <c r="D245" s="749"/>
      <c r="E245" s="749"/>
      <c r="F245" s="749"/>
      <c r="G245" s="749"/>
      <c r="H245" s="749"/>
      <c r="I245" s="749"/>
      <c r="J245" s="748" t="s">
        <v>131</v>
      </c>
      <c r="K245" s="749"/>
      <c r="L245" s="749"/>
      <c r="M245" s="749"/>
      <c r="N245" s="749"/>
      <c r="O245" s="749"/>
      <c r="P245" s="749"/>
      <c r="Q245" s="749"/>
      <c r="R245" s="749"/>
      <c r="S245" s="749"/>
      <c r="T245" s="748" t="s">
        <v>132</v>
      </c>
      <c r="U245" s="749"/>
      <c r="V245" s="749"/>
      <c r="W245" s="749"/>
      <c r="X245" s="749"/>
      <c r="Y245" s="749"/>
      <c r="Z245" s="749"/>
      <c r="AA245" s="293"/>
      <c r="AB245" s="240"/>
      <c r="AC245" s="240"/>
      <c r="AD245" s="240"/>
      <c r="AE245" s="240"/>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row>
    <row r="246" spans="1:83" ht="15.75" customHeight="1" x14ac:dyDescent="0.55000000000000004">
      <c r="A246" s="253"/>
      <c r="B246" s="294"/>
      <c r="C246" s="294"/>
      <c r="D246" s="294"/>
      <c r="E246" s="294"/>
      <c r="F246" s="294"/>
      <c r="G246" s="294"/>
      <c r="H246" s="294"/>
      <c r="I246" s="294"/>
      <c r="J246" s="253"/>
      <c r="K246" s="294"/>
      <c r="L246" s="294"/>
      <c r="M246" s="292"/>
      <c r="N246" s="292"/>
      <c r="O246" s="294"/>
      <c r="P246" s="294"/>
      <c r="Q246" s="294"/>
      <c r="R246" s="294"/>
      <c r="S246" s="294"/>
      <c r="T246" s="748" t="s">
        <v>128</v>
      </c>
      <c r="U246" s="749"/>
      <c r="V246" s="749"/>
      <c r="W246" s="749"/>
      <c r="X246" s="749"/>
      <c r="Y246" s="749"/>
      <c r="Z246" s="749"/>
      <c r="AA246" s="755"/>
      <c r="AB246" s="240"/>
      <c r="AC246" s="240"/>
      <c r="AD246" s="240"/>
      <c r="AE246" s="240"/>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row>
    <row r="247" spans="1:83" ht="15.3" x14ac:dyDescent="0.55000000000000004">
      <c r="A247" s="254"/>
      <c r="B247" s="290"/>
      <c r="C247" s="290"/>
      <c r="D247" s="290"/>
      <c r="E247" s="290"/>
      <c r="F247" s="290"/>
      <c r="G247" s="290"/>
      <c r="H247" s="290"/>
      <c r="I247" s="290"/>
      <c r="J247" s="254"/>
      <c r="K247" s="290"/>
      <c r="L247" s="290"/>
      <c r="M247" s="290"/>
      <c r="N247" s="290"/>
      <c r="O247" s="290"/>
      <c r="P247" s="290"/>
      <c r="Q247" s="290"/>
      <c r="R247" s="290"/>
      <c r="S247" s="290"/>
      <c r="T247" s="254"/>
      <c r="U247" s="290"/>
      <c r="V247" s="290"/>
      <c r="W247" s="290"/>
      <c r="X247" s="290"/>
      <c r="Y247" s="290"/>
      <c r="Z247" s="290"/>
      <c r="AA247" s="29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row>
    <row r="248" spans="1:83" ht="15.75" customHeight="1" x14ac:dyDescent="0.55000000000000004">
      <c r="A248" s="746" t="s">
        <v>136</v>
      </c>
      <c r="B248" s="747"/>
      <c r="C248" s="747"/>
      <c r="D248" s="747"/>
      <c r="E248" s="747"/>
      <c r="F248" s="747"/>
      <c r="G248" s="747"/>
      <c r="H248" s="747"/>
      <c r="I248" s="747"/>
      <c r="J248" s="746" t="s">
        <v>137</v>
      </c>
      <c r="K248" s="747"/>
      <c r="L248" s="747"/>
      <c r="M248" s="747"/>
      <c r="N248" s="747"/>
      <c r="O248" s="747"/>
      <c r="P248" s="747"/>
      <c r="Q248" s="747"/>
      <c r="R248" s="747"/>
      <c r="S248" s="747"/>
      <c r="T248" s="739">
        <v>0</v>
      </c>
      <c r="U248" s="740"/>
      <c r="V248" s="740"/>
      <c r="W248" s="740"/>
      <c r="X248" s="740"/>
      <c r="Y248" s="740"/>
      <c r="Z248" s="740"/>
      <c r="AA248" s="741"/>
      <c r="AB248" s="256"/>
      <c r="AC248" s="256"/>
      <c r="AD248" s="257"/>
      <c r="AE248" s="257"/>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row>
    <row r="249" spans="1:83" ht="15.3" x14ac:dyDescent="0.55000000000000004">
      <c r="A249" s="736" t="s">
        <v>134</v>
      </c>
      <c r="B249" s="737"/>
      <c r="C249" s="737"/>
      <c r="D249" s="737"/>
      <c r="E249" s="737"/>
      <c r="F249" s="737"/>
      <c r="G249" s="737"/>
      <c r="H249" s="737"/>
      <c r="I249" s="738"/>
      <c r="J249" s="736" t="s">
        <v>67</v>
      </c>
      <c r="K249" s="737"/>
      <c r="L249" s="737"/>
      <c r="M249" s="737"/>
      <c r="N249" s="737"/>
      <c r="O249" s="737"/>
      <c r="P249" s="737"/>
      <c r="Q249" s="737"/>
      <c r="R249" s="737"/>
      <c r="S249" s="738"/>
      <c r="T249" s="736" t="s">
        <v>135</v>
      </c>
      <c r="U249" s="737"/>
      <c r="V249" s="737"/>
      <c r="W249" s="737"/>
      <c r="X249" s="737"/>
      <c r="Y249" s="737"/>
      <c r="Z249" s="737"/>
      <c r="AA249" s="738"/>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row>
    <row r="250" spans="1:83" ht="15.3" x14ac:dyDescent="0.55000000000000004">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row>
    <row r="251" spans="1:83" ht="15.3" x14ac:dyDescent="0.55000000000000004">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row>
    <row r="252" spans="1:83" ht="15.3" x14ac:dyDescent="0.55000000000000004">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row>
    <row r="253" spans="1:83" ht="15.3" x14ac:dyDescent="0.55000000000000004">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row>
    <row r="254" spans="1:83" ht="15.3" x14ac:dyDescent="0.55000000000000004">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row>
    <row r="255" spans="1:83" ht="15.3" x14ac:dyDescent="0.55000000000000004">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row>
    <row r="256" spans="1:83" ht="15.3" x14ac:dyDescent="0.55000000000000004">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row>
    <row r="257" spans="3:83" ht="15.3" x14ac:dyDescent="0.55000000000000004">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row>
    <row r="258" spans="3:83" ht="15.3" x14ac:dyDescent="0.55000000000000004">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row>
    <row r="259" spans="3:83" ht="15.3" x14ac:dyDescent="0.55000000000000004">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row>
    <row r="260" spans="3:83" ht="15.3" x14ac:dyDescent="0.55000000000000004">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row>
    <row r="261" spans="3:83" ht="15.3" x14ac:dyDescent="0.55000000000000004">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row>
    <row r="262" spans="3:83" ht="15.3" x14ac:dyDescent="0.55000000000000004">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row>
    <row r="263" spans="3:83" ht="15.3" x14ac:dyDescent="0.55000000000000004">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row>
    <row r="264" spans="3:83" ht="15.3" x14ac:dyDescent="0.55000000000000004">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row>
    <row r="265" spans="3:83" ht="15.3" x14ac:dyDescent="0.55000000000000004">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row>
    <row r="266" spans="3:83" ht="15.3" x14ac:dyDescent="0.55000000000000004">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row>
    <row r="267" spans="3:83" ht="15.3" x14ac:dyDescent="0.55000000000000004">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row>
    <row r="268" spans="3:83" ht="15.3" x14ac:dyDescent="0.55000000000000004">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row>
    <row r="269" spans="3:83" ht="15.3" x14ac:dyDescent="0.55000000000000004">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row>
    <row r="270" spans="3:83" ht="15.3" x14ac:dyDescent="0.55000000000000004">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row>
    <row r="271" spans="3:83" ht="15.3" x14ac:dyDescent="0.55000000000000004">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row>
    <row r="272" spans="3:83" ht="15.3" x14ac:dyDescent="0.55000000000000004">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row>
    <row r="273" spans="3:83" ht="15.3" x14ac:dyDescent="0.55000000000000004">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row>
    <row r="274" spans="3:83" ht="15.3" x14ac:dyDescent="0.55000000000000004">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row>
    <row r="275" spans="3:83" ht="15.3" x14ac:dyDescent="0.55000000000000004">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row>
    <row r="276" spans="3:83" ht="15.3" x14ac:dyDescent="0.55000000000000004">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row>
    <row r="277" spans="3:83" ht="15.3" x14ac:dyDescent="0.55000000000000004">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row>
    <row r="278" spans="3:83" ht="15.3" x14ac:dyDescent="0.55000000000000004">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row>
    <row r="279" spans="3:83" ht="15.3" x14ac:dyDescent="0.55000000000000004">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row>
    <row r="280" spans="3:83" ht="15.3" x14ac:dyDescent="0.55000000000000004">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row>
    <row r="281" spans="3:83" ht="15.3" x14ac:dyDescent="0.55000000000000004">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row>
    <row r="282" spans="3:83" ht="15.3" x14ac:dyDescent="0.55000000000000004">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row>
    <row r="283" spans="3:83" ht="15.3" x14ac:dyDescent="0.55000000000000004">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row>
    <row r="284" spans="3:83" ht="15.3" x14ac:dyDescent="0.55000000000000004">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row>
    <row r="285" spans="3:83" ht="15.3" x14ac:dyDescent="0.55000000000000004">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row>
    <row r="286" spans="3:83" ht="15.3" x14ac:dyDescent="0.55000000000000004">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row>
    <row r="287" spans="3:83" ht="15.3" x14ac:dyDescent="0.55000000000000004">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row>
    <row r="288" spans="3:83" ht="15.3" x14ac:dyDescent="0.55000000000000004">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row>
    <row r="289" spans="3:83" ht="15.3" x14ac:dyDescent="0.55000000000000004">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row>
    <row r="290" spans="3:83" ht="15.3" x14ac:dyDescent="0.55000000000000004">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row>
    <row r="291" spans="3:83" ht="15.3" x14ac:dyDescent="0.55000000000000004">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row>
    <row r="292" spans="3:83" ht="15.3" x14ac:dyDescent="0.55000000000000004">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row>
    <row r="293" spans="3:83" ht="15.3" x14ac:dyDescent="0.55000000000000004">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row>
    <row r="294" spans="3:83" ht="15.3" x14ac:dyDescent="0.55000000000000004">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row>
    <row r="295" spans="3:83" ht="15.3" x14ac:dyDescent="0.55000000000000004">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row>
    <row r="296" spans="3:83" ht="15.3" x14ac:dyDescent="0.55000000000000004">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row>
    <row r="297" spans="3:83" ht="15.3" x14ac:dyDescent="0.55000000000000004">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row>
    <row r="298" spans="3:83" ht="15.3" x14ac:dyDescent="0.55000000000000004">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row>
    <row r="299" spans="3:83" ht="15.3" x14ac:dyDescent="0.55000000000000004">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row>
    <row r="300" spans="3:83" ht="15.3" x14ac:dyDescent="0.55000000000000004">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row>
    <row r="301" spans="3:83" ht="15.3" x14ac:dyDescent="0.55000000000000004">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row>
    <row r="302" spans="3:83" ht="15.3" x14ac:dyDescent="0.55000000000000004">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row>
    <row r="303" spans="3:83" ht="15.3" x14ac:dyDescent="0.55000000000000004">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row>
    <row r="304" spans="3:83" ht="15.3" x14ac:dyDescent="0.55000000000000004">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row>
    <row r="305" spans="3:83" ht="15.3" x14ac:dyDescent="0.55000000000000004">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row>
    <row r="306" spans="3:83" ht="15.3" x14ac:dyDescent="0.55000000000000004">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row>
    <row r="307" spans="3:83" ht="15.3" x14ac:dyDescent="0.55000000000000004">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row>
    <row r="308" spans="3:83" ht="15.3" x14ac:dyDescent="0.55000000000000004">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row>
    <row r="309" spans="3:83" ht="15.3" x14ac:dyDescent="0.55000000000000004">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row>
    <row r="310" spans="3:83" ht="15.3" x14ac:dyDescent="0.55000000000000004">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row>
    <row r="311" spans="3:83" ht="15.3" x14ac:dyDescent="0.55000000000000004">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row>
    <row r="312" spans="3:83" ht="15.3" x14ac:dyDescent="0.55000000000000004">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row>
    <row r="313" spans="3:83" ht="15.3" x14ac:dyDescent="0.55000000000000004">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row>
    <row r="314" spans="3:83" ht="15.3" x14ac:dyDescent="0.55000000000000004">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row>
    <row r="315" spans="3:83" ht="15.3" x14ac:dyDescent="0.55000000000000004">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row>
    <row r="316" spans="3:83" ht="15.3" x14ac:dyDescent="0.55000000000000004">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row>
    <row r="317" spans="3:83" ht="15.3" x14ac:dyDescent="0.55000000000000004">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row>
    <row r="318" spans="3:83" ht="15.3" x14ac:dyDescent="0.55000000000000004">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row>
    <row r="319" spans="3:83" ht="15.3" x14ac:dyDescent="0.55000000000000004">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row>
    <row r="320" spans="3:83" ht="15.3" x14ac:dyDescent="0.55000000000000004">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row>
    <row r="321" spans="3:83" ht="15.3" x14ac:dyDescent="0.55000000000000004">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row>
    <row r="322" spans="3:83" ht="15.3" x14ac:dyDescent="0.55000000000000004">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row>
    <row r="323" spans="3:83" ht="15.3" x14ac:dyDescent="0.55000000000000004">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row>
    <row r="324" spans="3:83" ht="15.3" x14ac:dyDescent="0.55000000000000004">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row>
    <row r="325" spans="3:83" ht="15.3" x14ac:dyDescent="0.55000000000000004">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row>
    <row r="326" spans="3:83" ht="15.3" x14ac:dyDescent="0.55000000000000004">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row>
    <row r="327" spans="3:83" ht="15.3" x14ac:dyDescent="0.55000000000000004">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row>
    <row r="328" spans="3:83" ht="15.3" x14ac:dyDescent="0.55000000000000004">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row>
    <row r="329" spans="3:83" ht="15.3" x14ac:dyDescent="0.55000000000000004">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row>
    <row r="330" spans="3:83" ht="15.3" x14ac:dyDescent="0.55000000000000004">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row>
    <row r="331" spans="3:83" ht="15.3" x14ac:dyDescent="0.55000000000000004">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row>
    <row r="332" spans="3:83" ht="15.3" x14ac:dyDescent="0.55000000000000004">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row>
    <row r="333" spans="3:83" ht="15.3" x14ac:dyDescent="0.55000000000000004">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row>
    <row r="334" spans="3:83" ht="15.3" x14ac:dyDescent="0.55000000000000004">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row>
    <row r="335" spans="3:83" ht="15.3" x14ac:dyDescent="0.55000000000000004">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row>
    <row r="336" spans="3:83" ht="15.3" x14ac:dyDescent="0.55000000000000004">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row>
    <row r="337" spans="3:83" ht="15.3" x14ac:dyDescent="0.55000000000000004">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row>
    <row r="338" spans="3:83" ht="15.3" x14ac:dyDescent="0.55000000000000004">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row>
    <row r="339" spans="3:83" ht="15.3" x14ac:dyDescent="0.55000000000000004">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row>
    <row r="340" spans="3:83" ht="15.3" x14ac:dyDescent="0.55000000000000004">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row>
    <row r="341" spans="3:83" ht="15.3" x14ac:dyDescent="0.55000000000000004">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row>
    <row r="342" spans="3:83" ht="15.3" x14ac:dyDescent="0.55000000000000004">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row>
    <row r="343" spans="3:83" ht="15.3" x14ac:dyDescent="0.55000000000000004">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row>
    <row r="344" spans="3:83" ht="15.3" x14ac:dyDescent="0.55000000000000004">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row>
    <row r="345" spans="3:83" ht="15.3" x14ac:dyDescent="0.55000000000000004">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row>
    <row r="346" spans="3:83" ht="15.3" x14ac:dyDescent="0.55000000000000004">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row>
    <row r="347" spans="3:83" ht="15.3" x14ac:dyDescent="0.55000000000000004">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row>
    <row r="348" spans="3:83" ht="15.3" x14ac:dyDescent="0.55000000000000004">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row>
    <row r="349" spans="3:83" ht="15.3" x14ac:dyDescent="0.55000000000000004">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row>
    <row r="350" spans="3:83" ht="15.3" x14ac:dyDescent="0.55000000000000004">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row>
    <row r="351" spans="3:83" ht="15.3" x14ac:dyDescent="0.55000000000000004">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row>
    <row r="352" spans="3:83" ht="15.3" x14ac:dyDescent="0.55000000000000004">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row>
    <row r="353" spans="3:83" ht="15.3" x14ac:dyDescent="0.55000000000000004">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row>
    <row r="354" spans="3:83" ht="15.3" x14ac:dyDescent="0.55000000000000004">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row>
    <row r="355" spans="3:83" ht="15.3" x14ac:dyDescent="0.55000000000000004">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row>
    <row r="356" spans="3:83" ht="15.3" x14ac:dyDescent="0.55000000000000004">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row>
    <row r="357" spans="3:83" ht="15.3" x14ac:dyDescent="0.55000000000000004">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row>
    <row r="358" spans="3:83" ht="15.3" x14ac:dyDescent="0.55000000000000004">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row>
    <row r="359" spans="3:83" ht="15.3" x14ac:dyDescent="0.55000000000000004">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row>
    <row r="360" spans="3:83" ht="15.3" x14ac:dyDescent="0.55000000000000004">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row>
    <row r="361" spans="3:83" ht="15.3" x14ac:dyDescent="0.55000000000000004">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row>
    <row r="362" spans="3:83" ht="15.3" x14ac:dyDescent="0.55000000000000004">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row>
    <row r="363" spans="3:83" ht="15.3" x14ac:dyDescent="0.55000000000000004">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row>
    <row r="364" spans="3:83" ht="15.3" x14ac:dyDescent="0.55000000000000004">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row>
    <row r="365" spans="3:83" ht="15.3" x14ac:dyDescent="0.55000000000000004">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row>
    <row r="366" spans="3:83" ht="15.3" x14ac:dyDescent="0.55000000000000004">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row>
    <row r="367" spans="3:83" ht="15.3" x14ac:dyDescent="0.55000000000000004">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row>
    <row r="368" spans="3:83" ht="15.3" x14ac:dyDescent="0.55000000000000004">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row>
    <row r="369" spans="3:83" ht="15.3" x14ac:dyDescent="0.55000000000000004">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row>
    <row r="370" spans="3:83" ht="15.3" x14ac:dyDescent="0.55000000000000004">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row>
    <row r="371" spans="3:83" ht="15.3" x14ac:dyDescent="0.55000000000000004">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row>
    <row r="372" spans="3:83" ht="15.3" x14ac:dyDescent="0.55000000000000004">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row>
    <row r="373" spans="3:83" ht="15.3" x14ac:dyDescent="0.55000000000000004">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row>
    <row r="374" spans="3:83" ht="15.3" x14ac:dyDescent="0.55000000000000004">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row>
    <row r="375" spans="3:83" ht="15.3" x14ac:dyDescent="0.55000000000000004">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row>
    <row r="376" spans="3:83" ht="15.3" x14ac:dyDescent="0.55000000000000004">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row>
    <row r="377" spans="3:83" ht="15.3" x14ac:dyDescent="0.55000000000000004">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row>
    <row r="378" spans="3:83" ht="15.3" x14ac:dyDescent="0.55000000000000004">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row>
    <row r="379" spans="3:83" ht="15.3" x14ac:dyDescent="0.55000000000000004">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row>
    <row r="380" spans="3:83" ht="15.3" x14ac:dyDescent="0.55000000000000004">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row>
    <row r="381" spans="3:83" ht="15.3" x14ac:dyDescent="0.55000000000000004">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row>
    <row r="382" spans="3:83" ht="15.3" x14ac:dyDescent="0.55000000000000004">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row>
    <row r="383" spans="3:83" ht="15.3" x14ac:dyDescent="0.55000000000000004">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row>
    <row r="384" spans="3:83" ht="15.3" x14ac:dyDescent="0.55000000000000004">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row>
    <row r="385" spans="3:83" ht="15.3" x14ac:dyDescent="0.55000000000000004">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row>
    <row r="386" spans="3:83" ht="15.3" x14ac:dyDescent="0.55000000000000004">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row>
    <row r="387" spans="3:83" ht="15.3" x14ac:dyDescent="0.55000000000000004">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row>
    <row r="388" spans="3:83" ht="15.3" x14ac:dyDescent="0.55000000000000004">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row>
    <row r="389" spans="3:83" ht="15.3" x14ac:dyDescent="0.55000000000000004">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row>
    <row r="390" spans="3:83" ht="15.3" x14ac:dyDescent="0.55000000000000004">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row>
    <row r="391" spans="3:83" ht="15.3" x14ac:dyDescent="0.55000000000000004">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row>
    <row r="392" spans="3:83" ht="15.3" x14ac:dyDescent="0.55000000000000004">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row>
    <row r="393" spans="3:83" ht="15.3" x14ac:dyDescent="0.55000000000000004">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row>
    <row r="394" spans="3:83" ht="15.3" x14ac:dyDescent="0.55000000000000004">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row>
    <row r="395" spans="3:83" ht="15.3" x14ac:dyDescent="0.55000000000000004">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row>
    <row r="396" spans="3:83" ht="15.3" x14ac:dyDescent="0.55000000000000004">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row>
    <row r="397" spans="3:83" ht="15.3" x14ac:dyDescent="0.55000000000000004">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row>
    <row r="398" spans="3:83" ht="15.3" x14ac:dyDescent="0.55000000000000004">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row>
    <row r="399" spans="3:83" ht="15.3" x14ac:dyDescent="0.55000000000000004">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row>
    <row r="400" spans="3:83" ht="15.3" x14ac:dyDescent="0.55000000000000004">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row>
    <row r="401" spans="3:83" ht="15.3" x14ac:dyDescent="0.55000000000000004">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row>
    <row r="402" spans="3:83" ht="15.3" x14ac:dyDescent="0.55000000000000004">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row>
    <row r="403" spans="3:83" ht="15.3" x14ac:dyDescent="0.55000000000000004">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row>
    <row r="404" spans="3:83" ht="15.3" x14ac:dyDescent="0.55000000000000004">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row>
    <row r="405" spans="3:83" ht="15.3" x14ac:dyDescent="0.55000000000000004">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row>
    <row r="406" spans="3:83" ht="15.3" x14ac:dyDescent="0.55000000000000004">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row>
    <row r="407" spans="3:83" ht="15.3" x14ac:dyDescent="0.55000000000000004">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row>
    <row r="408" spans="3:83" ht="15.3" x14ac:dyDescent="0.55000000000000004">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row>
    <row r="409" spans="3:83" ht="15.3" x14ac:dyDescent="0.55000000000000004">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row>
    <row r="410" spans="3:83" ht="15.3" x14ac:dyDescent="0.55000000000000004">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row>
    <row r="411" spans="3:83" ht="15.3" x14ac:dyDescent="0.55000000000000004">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row>
    <row r="412" spans="3:83" ht="15.3" x14ac:dyDescent="0.55000000000000004">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row>
    <row r="413" spans="3:83" ht="15.3" x14ac:dyDescent="0.55000000000000004">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row>
    <row r="414" spans="3:83" ht="15.3" x14ac:dyDescent="0.55000000000000004">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row>
    <row r="415" spans="3:83" ht="15.3" x14ac:dyDescent="0.55000000000000004">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row>
    <row r="416" spans="3:83" ht="15.3" x14ac:dyDescent="0.55000000000000004">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row>
    <row r="417" spans="3:83" ht="15.3" x14ac:dyDescent="0.55000000000000004">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row>
    <row r="418" spans="3:83" ht="15.3" x14ac:dyDescent="0.55000000000000004">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row>
    <row r="419" spans="3:83" ht="15.3" x14ac:dyDescent="0.55000000000000004">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row>
    <row r="420" spans="3:83" ht="15.3" x14ac:dyDescent="0.55000000000000004">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row>
    <row r="421" spans="3:83" ht="15.3" x14ac:dyDescent="0.55000000000000004">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row>
    <row r="422" spans="3:83" ht="15.3" x14ac:dyDescent="0.55000000000000004">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row>
    <row r="423" spans="3:83" ht="15.3" x14ac:dyDescent="0.55000000000000004">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row>
    <row r="424" spans="3:83" ht="15.3" x14ac:dyDescent="0.55000000000000004">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row>
    <row r="425" spans="3:83" ht="15.3" x14ac:dyDescent="0.55000000000000004">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row>
    <row r="426" spans="3:83" ht="15.3" x14ac:dyDescent="0.55000000000000004">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row>
    <row r="427" spans="3:83" ht="15.3" x14ac:dyDescent="0.55000000000000004">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row>
    <row r="428" spans="3:83" ht="15.3" x14ac:dyDescent="0.55000000000000004">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row>
    <row r="429" spans="3:83" ht="15.3" x14ac:dyDescent="0.55000000000000004">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row>
    <row r="430" spans="3:83" ht="15.3" x14ac:dyDescent="0.55000000000000004">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row>
    <row r="431" spans="3:83" ht="15.3" x14ac:dyDescent="0.55000000000000004">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row>
    <row r="432" spans="3:83" ht="15.3" x14ac:dyDescent="0.55000000000000004">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row>
    <row r="433" spans="3:83" ht="15.3" x14ac:dyDescent="0.55000000000000004">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row>
    <row r="434" spans="3:83" ht="15.3" x14ac:dyDescent="0.55000000000000004">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row>
    <row r="435" spans="3:83" ht="15.3" x14ac:dyDescent="0.55000000000000004">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row>
    <row r="436" spans="3:83" ht="15.3" x14ac:dyDescent="0.55000000000000004">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row>
    <row r="437" spans="3:83" ht="15.3" x14ac:dyDescent="0.55000000000000004">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row>
    <row r="438" spans="3:83" ht="15.3" x14ac:dyDescent="0.55000000000000004">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row>
    <row r="439" spans="3:83" ht="15.3" x14ac:dyDescent="0.55000000000000004">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row>
    <row r="440" spans="3:83" ht="15.3" x14ac:dyDescent="0.55000000000000004">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row>
    <row r="441" spans="3:83" ht="15.3" x14ac:dyDescent="0.55000000000000004">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row>
    <row r="442" spans="3:83" ht="15.3" x14ac:dyDescent="0.55000000000000004">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row>
    <row r="443" spans="3:83" ht="15.3" x14ac:dyDescent="0.55000000000000004">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row>
    <row r="444" spans="3:83" ht="15.3" x14ac:dyDescent="0.55000000000000004">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row>
    <row r="445" spans="3:83" ht="15.3" x14ac:dyDescent="0.55000000000000004">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row>
  </sheetData>
  <mergeCells count="506">
    <mergeCell ref="X25:AA25"/>
    <mergeCell ref="Q26:AA26"/>
    <mergeCell ref="A17:J17"/>
    <mergeCell ref="A19:M19"/>
    <mergeCell ref="N19:O19"/>
    <mergeCell ref="P19:U19"/>
    <mergeCell ref="V19:AA19"/>
    <mergeCell ref="A20:M20"/>
    <mergeCell ref="N20:O20"/>
    <mergeCell ref="P20:S20"/>
    <mergeCell ref="T20:AA20"/>
    <mergeCell ref="A9:C9"/>
    <mergeCell ref="A10:C10"/>
    <mergeCell ref="A11:C11"/>
    <mergeCell ref="A12:C12"/>
    <mergeCell ref="A13:C13"/>
    <mergeCell ref="W232:Z232"/>
    <mergeCell ref="Q232:U232"/>
    <mergeCell ref="W228:Z228"/>
    <mergeCell ref="Q228:U228"/>
    <mergeCell ref="A228:O228"/>
    <mergeCell ref="Y219:AA219"/>
    <mergeCell ref="Y220:AA220"/>
    <mergeCell ref="Y221:AA221"/>
    <mergeCell ref="Y222:AA222"/>
    <mergeCell ref="A196:AA196"/>
    <mergeCell ref="Y214:AA214"/>
    <mergeCell ref="W98:AA98"/>
    <mergeCell ref="Y215:AA215"/>
    <mergeCell ref="Y216:AA216"/>
    <mergeCell ref="Y217:AA217"/>
    <mergeCell ref="Y218:AA218"/>
    <mergeCell ref="A210:AA210"/>
    <mergeCell ref="Y211:AA211"/>
    <mergeCell ref="Y212:AA212"/>
    <mergeCell ref="Y213:AA213"/>
    <mergeCell ref="F208:H208"/>
    <mergeCell ref="A195:AA195"/>
    <mergeCell ref="H198:Q198"/>
    <mergeCell ref="H199:Q199"/>
    <mergeCell ref="H200:Q200"/>
    <mergeCell ref="H201:Q201"/>
    <mergeCell ref="R198:Y198"/>
    <mergeCell ref="R199:Y199"/>
    <mergeCell ref="R200:Y200"/>
    <mergeCell ref="R201:Y201"/>
    <mergeCell ref="B207:I207"/>
    <mergeCell ref="L204:AA204"/>
    <mergeCell ref="D200:G200"/>
    <mergeCell ref="D201:G201"/>
    <mergeCell ref="B211:X211"/>
    <mergeCell ref="B212:X212"/>
    <mergeCell ref="B213:X213"/>
    <mergeCell ref="J207:AA207"/>
    <mergeCell ref="A191:O191"/>
    <mergeCell ref="B192:O192"/>
    <mergeCell ref="A193:T193"/>
    <mergeCell ref="A194:T194"/>
    <mergeCell ref="U192:V192"/>
    <mergeCell ref="W192:AA192"/>
    <mergeCell ref="U193:V193"/>
    <mergeCell ref="W193:AA193"/>
    <mergeCell ref="U194:V194"/>
    <mergeCell ref="W194:AA194"/>
    <mergeCell ref="A185:AA185"/>
    <mergeCell ref="U184:V184"/>
    <mergeCell ref="A186:AA186"/>
    <mergeCell ref="A187:O187"/>
    <mergeCell ref="B188:O188"/>
    <mergeCell ref="A189:T189"/>
    <mergeCell ref="U188:V188"/>
    <mergeCell ref="U189:V189"/>
    <mergeCell ref="W188:AA188"/>
    <mergeCell ref="W189:AA189"/>
    <mergeCell ref="A180:AA180"/>
    <mergeCell ref="A181:O181"/>
    <mergeCell ref="B182:O182"/>
    <mergeCell ref="B183:O183"/>
    <mergeCell ref="A184:T184"/>
    <mergeCell ref="U182:V182"/>
    <mergeCell ref="W182:AA182"/>
    <mergeCell ref="U183:V183"/>
    <mergeCell ref="W183:AA183"/>
    <mergeCell ref="W184:AA184"/>
    <mergeCell ref="W175:AA175"/>
    <mergeCell ref="A175:T175"/>
    <mergeCell ref="U175:V175"/>
    <mergeCell ref="A176:AA176"/>
    <mergeCell ref="A177:O177"/>
    <mergeCell ref="B178:O178"/>
    <mergeCell ref="U178:V178"/>
    <mergeCell ref="W178:AA178"/>
    <mergeCell ref="A179:T179"/>
    <mergeCell ref="U179:V179"/>
    <mergeCell ref="W179:AA179"/>
    <mergeCell ref="B170:O170"/>
    <mergeCell ref="U170:V170"/>
    <mergeCell ref="W170:AA170"/>
    <mergeCell ref="A171:T171"/>
    <mergeCell ref="U171:V171"/>
    <mergeCell ref="W171:AA171"/>
    <mergeCell ref="A172:AA172"/>
    <mergeCell ref="A173:O173"/>
    <mergeCell ref="B174:O174"/>
    <mergeCell ref="U174:V174"/>
    <mergeCell ref="W174:AA174"/>
    <mergeCell ref="A165:O165"/>
    <mergeCell ref="B166:O166"/>
    <mergeCell ref="U166:V166"/>
    <mergeCell ref="W166:AA166"/>
    <mergeCell ref="W167:AA167"/>
    <mergeCell ref="U167:V167"/>
    <mergeCell ref="A167:T167"/>
    <mergeCell ref="A168:AA168"/>
    <mergeCell ref="A169:O169"/>
    <mergeCell ref="B161:O161"/>
    <mergeCell ref="U161:V161"/>
    <mergeCell ref="W161:AA161"/>
    <mergeCell ref="W162:AA162"/>
    <mergeCell ref="A162:T162"/>
    <mergeCell ref="U162:V162"/>
    <mergeCell ref="A163:AA163"/>
    <mergeCell ref="A164:AA164"/>
    <mergeCell ref="A156:O156"/>
    <mergeCell ref="B157:O157"/>
    <mergeCell ref="A158:T158"/>
    <mergeCell ref="U157:V157"/>
    <mergeCell ref="W157:AA157"/>
    <mergeCell ref="W158:AA158"/>
    <mergeCell ref="U158:V158"/>
    <mergeCell ref="A159:AA159"/>
    <mergeCell ref="A160:O160"/>
    <mergeCell ref="A151:AA151"/>
    <mergeCell ref="A152:O152"/>
    <mergeCell ref="B153:O153"/>
    <mergeCell ref="W152:AA152"/>
    <mergeCell ref="W153:AA153"/>
    <mergeCell ref="W154:AA154"/>
    <mergeCell ref="B154:T154"/>
    <mergeCell ref="A155:AA155"/>
    <mergeCell ref="U153:V153"/>
    <mergeCell ref="U154:V154"/>
    <mergeCell ref="A150:AA150"/>
    <mergeCell ref="A142:O142"/>
    <mergeCell ref="B143:O143"/>
    <mergeCell ref="A144:T144"/>
    <mergeCell ref="W142:AA142"/>
    <mergeCell ref="W143:AA143"/>
    <mergeCell ref="W144:AA144"/>
    <mergeCell ref="U143:V143"/>
    <mergeCell ref="U144:V144"/>
    <mergeCell ref="A145:AA145"/>
    <mergeCell ref="A141:AA141"/>
    <mergeCell ref="U139:V139"/>
    <mergeCell ref="U140:V140"/>
    <mergeCell ref="A140:T140"/>
    <mergeCell ref="B147:O147"/>
    <mergeCell ref="W146:AA146"/>
    <mergeCell ref="W147:AA147"/>
    <mergeCell ref="W148:AA148"/>
    <mergeCell ref="U147:V147"/>
    <mergeCell ref="U148:V148"/>
    <mergeCell ref="A148:T148"/>
    <mergeCell ref="U136:V136"/>
    <mergeCell ref="A137:AA137"/>
    <mergeCell ref="A136:T136"/>
    <mergeCell ref="W136:AA136"/>
    <mergeCell ref="W135:AA135"/>
    <mergeCell ref="B139:O139"/>
    <mergeCell ref="A138:O138"/>
    <mergeCell ref="W138:AA138"/>
    <mergeCell ref="W140:AA140"/>
    <mergeCell ref="W139:AA139"/>
    <mergeCell ref="A129:AA129"/>
    <mergeCell ref="U131:V131"/>
    <mergeCell ref="U132:V132"/>
    <mergeCell ref="A132:T132"/>
    <mergeCell ref="W130:AA130"/>
    <mergeCell ref="W131:AA131"/>
    <mergeCell ref="W132:AA132"/>
    <mergeCell ref="A134:O134"/>
    <mergeCell ref="B135:O135"/>
    <mergeCell ref="W134:AA134"/>
    <mergeCell ref="U135:V135"/>
    <mergeCell ref="A118:T118"/>
    <mergeCell ref="A120:O120"/>
    <mergeCell ref="B121:O121"/>
    <mergeCell ref="U121:V121"/>
    <mergeCell ref="U122:V122"/>
    <mergeCell ref="A122:T122"/>
    <mergeCell ref="W121:AA121"/>
    <mergeCell ref="W122:AA122"/>
    <mergeCell ref="A133:AA133"/>
    <mergeCell ref="A130:O130"/>
    <mergeCell ref="B131:O131"/>
    <mergeCell ref="A123:AA123"/>
    <mergeCell ref="A119:AA119"/>
    <mergeCell ref="A124:O124"/>
    <mergeCell ref="B125:O125"/>
    <mergeCell ref="U125:V125"/>
    <mergeCell ref="U126:V126"/>
    <mergeCell ref="W125:AA125"/>
    <mergeCell ref="W126:AA126"/>
    <mergeCell ref="U118:V118"/>
    <mergeCell ref="W118:AA118"/>
    <mergeCell ref="A127:AA127"/>
    <mergeCell ref="A126:T126"/>
    <mergeCell ref="A128:AA128"/>
    <mergeCell ref="U113:V113"/>
    <mergeCell ref="A113:T113"/>
    <mergeCell ref="W113:AA113"/>
    <mergeCell ref="W112:AA112"/>
    <mergeCell ref="A114:AA114"/>
    <mergeCell ref="A116:O116"/>
    <mergeCell ref="B117:O117"/>
    <mergeCell ref="U117:V117"/>
    <mergeCell ref="A107:O107"/>
    <mergeCell ref="B108:O108"/>
    <mergeCell ref="A109:T109"/>
    <mergeCell ref="U108:V108"/>
    <mergeCell ref="U109:V109"/>
    <mergeCell ref="W109:AA109"/>
    <mergeCell ref="A110:AA110"/>
    <mergeCell ref="A111:O111"/>
    <mergeCell ref="B112:O112"/>
    <mergeCell ref="U112:V112"/>
    <mergeCell ref="A115:AA115"/>
    <mergeCell ref="W117:AA117"/>
    <mergeCell ref="W108:AA108"/>
    <mergeCell ref="B103:O103"/>
    <mergeCell ref="B104:O104"/>
    <mergeCell ref="U102:V102"/>
    <mergeCell ref="U103:V103"/>
    <mergeCell ref="U104:V104"/>
    <mergeCell ref="U105:V105"/>
    <mergeCell ref="A105:T105"/>
    <mergeCell ref="W105:AA105"/>
    <mergeCell ref="W102:AA102"/>
    <mergeCell ref="W103:AA103"/>
    <mergeCell ref="W104:AA104"/>
    <mergeCell ref="A96:AA96"/>
    <mergeCell ref="A97:O97"/>
    <mergeCell ref="B98:O98"/>
    <mergeCell ref="U98:V98"/>
    <mergeCell ref="U99:V99"/>
    <mergeCell ref="W99:AA99"/>
    <mergeCell ref="A99:T99"/>
    <mergeCell ref="A101:O101"/>
    <mergeCell ref="B102:O102"/>
    <mergeCell ref="A91:AA91"/>
    <mergeCell ref="W90:AA90"/>
    <mergeCell ref="A92:O92"/>
    <mergeCell ref="B93:O93"/>
    <mergeCell ref="B94:O94"/>
    <mergeCell ref="A95:T95"/>
    <mergeCell ref="U93:V93"/>
    <mergeCell ref="U94:V94"/>
    <mergeCell ref="U95:V95"/>
    <mergeCell ref="W95:AA95"/>
    <mergeCell ref="W93:AA93"/>
    <mergeCell ref="W94:AA94"/>
    <mergeCell ref="A85:AA85"/>
    <mergeCell ref="A86:O86"/>
    <mergeCell ref="B87:O87"/>
    <mergeCell ref="B88:O88"/>
    <mergeCell ref="B89:O89"/>
    <mergeCell ref="A90:T90"/>
    <mergeCell ref="U87:V87"/>
    <mergeCell ref="U88:V88"/>
    <mergeCell ref="U89:V89"/>
    <mergeCell ref="U90:V90"/>
    <mergeCell ref="W87:AA87"/>
    <mergeCell ref="W88:AA88"/>
    <mergeCell ref="W89:AA89"/>
    <mergeCell ref="AC233:AE233"/>
    <mergeCell ref="AC229:AE229"/>
    <mergeCell ref="A232:O232"/>
    <mergeCell ref="A45:O45"/>
    <mergeCell ref="U46:V46"/>
    <mergeCell ref="U47:V47"/>
    <mergeCell ref="A48:T48"/>
    <mergeCell ref="U48:V48"/>
    <mergeCell ref="W46:AA46"/>
    <mergeCell ref="W48:AA48"/>
    <mergeCell ref="W51:AA51"/>
    <mergeCell ref="U52:V52"/>
    <mergeCell ref="W52:AA52"/>
    <mergeCell ref="A49:AA49"/>
    <mergeCell ref="W61:AA61"/>
    <mergeCell ref="W60:AA60"/>
    <mergeCell ref="A58:AA58"/>
    <mergeCell ref="B63:O63"/>
    <mergeCell ref="C64:O64"/>
    <mergeCell ref="C65:O65"/>
    <mergeCell ref="U64:V64"/>
    <mergeCell ref="U65:V65"/>
    <mergeCell ref="W64:AA64"/>
    <mergeCell ref="W65:AA65"/>
    <mergeCell ref="AM184:AW184"/>
    <mergeCell ref="AM179:AW179"/>
    <mergeCell ref="AM180:AW180"/>
    <mergeCell ref="AM181:AW181"/>
    <mergeCell ref="AM182:AW182"/>
    <mergeCell ref="A34:AA34"/>
    <mergeCell ref="A35:AA35"/>
    <mergeCell ref="A37:AA37"/>
    <mergeCell ref="AH45:AI45"/>
    <mergeCell ref="AH46:AI46"/>
    <mergeCell ref="A75:AA75"/>
    <mergeCell ref="A53:T53"/>
    <mergeCell ref="U53:V53"/>
    <mergeCell ref="W53:AA53"/>
    <mergeCell ref="B40:O40"/>
    <mergeCell ref="B41:O41"/>
    <mergeCell ref="B42:O42"/>
    <mergeCell ref="P36:AA36"/>
    <mergeCell ref="A36:O36"/>
    <mergeCell ref="U43:V43"/>
    <mergeCell ref="W40:AA40"/>
    <mergeCell ref="W41:AA41"/>
    <mergeCell ref="W42:AA42"/>
    <mergeCell ref="W43:AA43"/>
    <mergeCell ref="CA50:CJ50"/>
    <mergeCell ref="AG178:AK178"/>
    <mergeCell ref="A22:AA22"/>
    <mergeCell ref="A27:AA27"/>
    <mergeCell ref="AK177:BH177"/>
    <mergeCell ref="AM178:AW178"/>
    <mergeCell ref="B46:O46"/>
    <mergeCell ref="B47:O47"/>
    <mergeCell ref="A50:O50"/>
    <mergeCell ref="B51:O51"/>
    <mergeCell ref="A38:O38"/>
    <mergeCell ref="P38:AA38"/>
    <mergeCell ref="A39:O39"/>
    <mergeCell ref="W39:AA39"/>
    <mergeCell ref="A43:T43"/>
    <mergeCell ref="U40:V40"/>
    <mergeCell ref="U41:V41"/>
    <mergeCell ref="U42:V42"/>
    <mergeCell ref="A28:H28"/>
    <mergeCell ref="A29:H29"/>
    <mergeCell ref="A44:AA44"/>
    <mergeCell ref="A66:T66"/>
    <mergeCell ref="U66:V66"/>
    <mergeCell ref="W66:AA66"/>
    <mergeCell ref="K12:Q12"/>
    <mergeCell ref="D12:J12"/>
    <mergeCell ref="A190:AA190"/>
    <mergeCell ref="E203:S203"/>
    <mergeCell ref="A1:E7"/>
    <mergeCell ref="V14:AA14"/>
    <mergeCell ref="D9:AA9"/>
    <mergeCell ref="Z10:AA10"/>
    <mergeCell ref="D13:P13"/>
    <mergeCell ref="A8:AA8"/>
    <mergeCell ref="V1:AA1"/>
    <mergeCell ref="V2:AA2"/>
    <mergeCell ref="V4:AA4"/>
    <mergeCell ref="V6:AA6"/>
    <mergeCell ref="V7:AA7"/>
    <mergeCell ref="F1:U7"/>
    <mergeCell ref="G14:P14"/>
    <mergeCell ref="Y15:AA15"/>
    <mergeCell ref="A14:F14"/>
    <mergeCell ref="Q13:W13"/>
    <mergeCell ref="Q14:U14"/>
    <mergeCell ref="D11:P11"/>
    <mergeCell ref="A67:AA67"/>
    <mergeCell ref="N29:Q29"/>
    <mergeCell ref="J249:S249"/>
    <mergeCell ref="T248:AA248"/>
    <mergeCell ref="T249:AA249"/>
    <mergeCell ref="T243:AA243"/>
    <mergeCell ref="A243:I243"/>
    <mergeCell ref="A249:I249"/>
    <mergeCell ref="A248:I248"/>
    <mergeCell ref="A244:I244"/>
    <mergeCell ref="A245:I245"/>
    <mergeCell ref="J243:S243"/>
    <mergeCell ref="J244:S244"/>
    <mergeCell ref="J245:S245"/>
    <mergeCell ref="T244:AA244"/>
    <mergeCell ref="T245:Z245"/>
    <mergeCell ref="T246:AA246"/>
    <mergeCell ref="J248:S248"/>
    <mergeCell ref="N28:Q28"/>
    <mergeCell ref="R29:AA29"/>
    <mergeCell ref="I28:M28"/>
    <mergeCell ref="I29:M29"/>
    <mergeCell ref="A18:J18"/>
    <mergeCell ref="U18:AA18"/>
    <mergeCell ref="R28:AA28"/>
    <mergeCell ref="K18:T18"/>
    <mergeCell ref="A30:M30"/>
    <mergeCell ref="P21:T21"/>
    <mergeCell ref="A21:M21"/>
    <mergeCell ref="N21:O21"/>
    <mergeCell ref="U21:AA21"/>
    <mergeCell ref="A24:D24"/>
    <mergeCell ref="A25:F25"/>
    <mergeCell ref="A26:D26"/>
    <mergeCell ref="G23:R23"/>
    <mergeCell ref="E24:J24"/>
    <mergeCell ref="G25:R25"/>
    <mergeCell ref="E26:J26"/>
    <mergeCell ref="Q24:AA24"/>
    <mergeCell ref="S23:W23"/>
    <mergeCell ref="S25:W25"/>
    <mergeCell ref="X23:AA23"/>
    <mergeCell ref="N30:AA30"/>
    <mergeCell ref="N31:AA31"/>
    <mergeCell ref="J205:K205"/>
    <mergeCell ref="J206:K206"/>
    <mergeCell ref="L205:AA205"/>
    <mergeCell ref="L206:AA206"/>
    <mergeCell ref="I204:K204"/>
    <mergeCell ref="B205:I205"/>
    <mergeCell ref="B206:I206"/>
    <mergeCell ref="B68:O68"/>
    <mergeCell ref="C69:O69"/>
    <mergeCell ref="N32:AA32"/>
    <mergeCell ref="N33:AA33"/>
    <mergeCell ref="D198:G198"/>
    <mergeCell ref="D199:G199"/>
    <mergeCell ref="A70:T70"/>
    <mergeCell ref="U69:V69"/>
    <mergeCell ref="U70:V70"/>
    <mergeCell ref="W68:AA68"/>
    <mergeCell ref="W70:AA70"/>
    <mergeCell ref="U57:V57"/>
    <mergeCell ref="B79:O79"/>
    <mergeCell ref="A80:T80"/>
    <mergeCell ref="U78:V78"/>
    <mergeCell ref="A241:AA241"/>
    <mergeCell ref="B204:F204"/>
    <mergeCell ref="G204:H204"/>
    <mergeCell ref="A231:O231"/>
    <mergeCell ref="R231:AA231"/>
    <mergeCell ref="A71:AA71"/>
    <mergeCell ref="W69:AA69"/>
    <mergeCell ref="B72:O72"/>
    <mergeCell ref="C73:O73"/>
    <mergeCell ref="A74:T74"/>
    <mergeCell ref="U73:V73"/>
    <mergeCell ref="U74:V74"/>
    <mergeCell ref="W73:AA73"/>
    <mergeCell ref="W74:AA74"/>
    <mergeCell ref="A77:O77"/>
    <mergeCell ref="B78:O78"/>
    <mergeCell ref="A222:X222"/>
    <mergeCell ref="U79:V79"/>
    <mergeCell ref="U80:V80"/>
    <mergeCell ref="W78:AA78"/>
    <mergeCell ref="W79:AA79"/>
    <mergeCell ref="W80:AA80"/>
    <mergeCell ref="A76:AA76"/>
    <mergeCell ref="A81:AA81"/>
    <mergeCell ref="B214:X214"/>
    <mergeCell ref="B215:X215"/>
    <mergeCell ref="B216:X216"/>
    <mergeCell ref="B217:X217"/>
    <mergeCell ref="B221:X221"/>
    <mergeCell ref="B220:X220"/>
    <mergeCell ref="B219:X219"/>
    <mergeCell ref="B218:X218"/>
    <mergeCell ref="A54:AA54"/>
    <mergeCell ref="A62:AA62"/>
    <mergeCell ref="W55:AA55"/>
    <mergeCell ref="W57:AA57"/>
    <mergeCell ref="B59:O59"/>
    <mergeCell ref="C60:O60"/>
    <mergeCell ref="U60:V60"/>
    <mergeCell ref="A61:T61"/>
    <mergeCell ref="U61:V61"/>
    <mergeCell ref="A82:O82"/>
    <mergeCell ref="B83:O83"/>
    <mergeCell ref="A84:T84"/>
    <mergeCell ref="U84:V84"/>
    <mergeCell ref="W84:AA84"/>
    <mergeCell ref="W83:AA83"/>
    <mergeCell ref="U83:V83"/>
    <mergeCell ref="C52:O52"/>
    <mergeCell ref="W47:AA47"/>
    <mergeCell ref="B55:O55"/>
    <mergeCell ref="C56:O56"/>
    <mergeCell ref="U56:V56"/>
    <mergeCell ref="W56:AA56"/>
    <mergeCell ref="A57:T57"/>
    <mergeCell ref="D10:X10"/>
    <mergeCell ref="X13:AA13"/>
    <mergeCell ref="T15:X15"/>
    <mergeCell ref="A15:E15"/>
    <mergeCell ref="H15:N15"/>
    <mergeCell ref="O15:S15"/>
    <mergeCell ref="F15:G15"/>
    <mergeCell ref="A16:E16"/>
    <mergeCell ref="M16:N16"/>
    <mergeCell ref="I16:J16"/>
    <mergeCell ref="Q11:S11"/>
    <mergeCell ref="T11:AA11"/>
    <mergeCell ref="Q16:T16"/>
    <mergeCell ref="U16:AA16"/>
    <mergeCell ref="A31:M31"/>
    <mergeCell ref="A32:M32"/>
    <mergeCell ref="A33:M33"/>
  </mergeCells>
  <conditionalFormatting sqref="J207:AA207">
    <cfRule type="expression" dxfId="1" priority="1">
      <formula>NOT(AND(I204&gt;60, J205&lt;1, J206&lt;=5))</formula>
    </cfRule>
    <cfRule type="expression" dxfId="0" priority="2">
      <formula>AND(I204&gt;60, J205&lt;1, J206&lt;=5)</formula>
    </cfRule>
  </conditionalFormatting>
  <dataValidations count="15">
    <dataValidation type="list" allowBlank="1" showInputMessage="1" showErrorMessage="1" sqref="T39:T42 T191:T192 T187:T188 T181:T183 T177:T178 T173:T174 T169:T170 T165:T166 T160:T161 T156:T157 T152:T153 T146:T147 T142:T143 T138:T139 T134:T135 T130:T131 T124:T125 T120:T121 T116:T117 T111:T112 W113:X113 T107:T108 T101:T104 T97:T98 T92:T94 T86:T89 T82:T83 W83:X83 T77:T79 T72:T73 T68:T69 T63:T65 T59:T60 W57:X57 T55:T56 W53:X53 T51:T52 T45:T47" xr:uid="{773F1F02-42D5-43ED-8847-563A7B457A4D}">
      <formula1>$BR$8:$BR$10</formula1>
    </dataValidation>
    <dataValidation type="list" allowBlank="1" showInputMessage="1" showErrorMessage="1" sqref="P39:Q39 P152:Q152 S77 P97:Q97 S72 S68 S45 S59 S92 S124 S97 P173:Q173 P169:Q169 P165:Q165 S156 S39 P187:Q187 P92 S169 P160:Q160 S152 P156:Q156 P177 S138 P146 S134 S51 P142 S130 P134:Q134 P77:Q77 P124:Q124 S111 P120:Q120 S120 P116:Q116 P138 P111 P101:Q101 P107 P82:Q82 U53 P63:Q63 P59:Q59 P55:Q55 P51:Q51 P45:Q45 P68:Q68 S173 P130:Q130 S86 S142 S63 P191:Q191 S187 S55 P72:Q72 S165 S160 S181 S191 S82 S116 S101 S107 S177 P181:Q181 S146 P86" xr:uid="{13B73708-A1AB-48D4-A52B-671D19176105}">
      <formula1>$BG$38:$BG$39</formula1>
    </dataValidation>
    <dataValidation type="list" allowBlank="1" showInputMessage="1" showErrorMessage="1" sqref="AI9" xr:uid="{23906C72-537E-4D94-8CAD-F03D6A4290C0}">
      <formula1>$AY$8:$AY$51</formula1>
    </dataValidation>
    <dataValidation type="list" allowBlank="1" showInputMessage="1" showErrorMessage="1" sqref="A18" xr:uid="{5523E7A0-6ABF-4C84-BE06-69E06258564D}">
      <formula1>$BD$1:$BD$20</formula1>
    </dataValidation>
    <dataValidation type="list" allowBlank="1" showInputMessage="1" showErrorMessage="1" sqref="U18" xr:uid="{008BA44B-C500-4CD3-A1C7-71F5616DE8EC}">
      <formula1>$BG$26:$BG$32</formula1>
    </dataValidation>
    <dataValidation type="list" allowBlank="1" showInputMessage="1" showErrorMessage="1" sqref="P192:S192 P40:S42 P188:S188 P182:S183 P46:S47 P174:S174 P170:S170 P166:S166 P161:S161 P157:S157 P153:S153 R178:S178 R147:S147 R143:S143 P135:S135 P131:S131 P125:S125 P121:S121 P117:S117 R139:S139 R112:S112 P102:T104 P98:S98 R108:T108 Q94 P83:S83 P78:S79 P73:S73 P69:S69 P64:S65 P60:S60 P56:S56 P52:S52 P178 P147 P143 P139 P112 P108 P93:P94 R93:S94 P87:P89 R87:S89 Q88:Q89" xr:uid="{BD2C45AE-C97A-4D6F-B643-3FA92F31EBF5}">
      <formula1>$BI$38</formula1>
    </dataValidation>
    <dataValidation type="list" allowBlank="1" showInputMessage="1" showErrorMessage="1" sqref="AB15 Y15" xr:uid="{387750F6-CC14-4F5A-9A1F-28CF42321E85}">
      <formula1>$BQ$24:$BQ$27</formula1>
    </dataValidation>
    <dataValidation type="list" allowBlank="1" showInputMessage="1" showErrorMessage="1" sqref="U16 AB16:AD16" xr:uid="{D66C01F5-A63E-4CDB-9930-4D7A848B8CE5}">
      <formula1>$BQ$29:$BQ$34</formula1>
    </dataValidation>
    <dataValidation type="list" allowBlank="1" showInputMessage="1" showErrorMessage="1" sqref="S208 AC207:AC208 AB28:AE28 R28" xr:uid="{0E444E29-1109-40D5-990D-42A0C4800BB5}">
      <formula1>$BQ$12:$BQ$20</formula1>
    </dataValidation>
    <dataValidation type="list" allowBlank="1" showInputMessage="1" showErrorMessage="1" sqref="T11" xr:uid="{FDD46EE2-3274-41A3-B3CB-9E4F6A9B090D}">
      <formula1>$BU$3:$BU$42</formula1>
    </dataValidation>
    <dataValidation type="list" allowBlank="1" showInputMessage="1" showErrorMessage="1" sqref="K18" xr:uid="{A9CB4BD3-5F4D-4B79-B51D-7B8304F95A8C}">
      <formula1>$AM$1:$AM$116</formula1>
    </dataValidation>
    <dataValidation type="list" allowBlank="1" showInputMessage="1" showErrorMessage="1" sqref="N19:O21" xr:uid="{50345D2D-91C9-46D7-8470-B9303D2DE257}">
      <formula1>$BI$34:$BI$35</formula1>
    </dataValidation>
    <dataValidation type="list" allowBlank="1" showInputMessage="1" showErrorMessage="1" sqref="V19:AA19" xr:uid="{83D67615-CC21-4839-B8AC-D2E99FCFDEEB}">
      <formula1>$AE$8:$AE$10</formula1>
    </dataValidation>
    <dataValidation type="list" allowBlank="1" showInputMessage="1" showErrorMessage="1" sqref="T20:AA20" xr:uid="{9E91534E-4D71-4798-B47F-D2B22DDBCF8E}">
      <formula1>$AE$12:$AE$14</formula1>
    </dataValidation>
    <dataValidation type="list" allowBlank="1" showInputMessage="1" showErrorMessage="1" sqref="U21:AA21" xr:uid="{1B9B885B-7348-45FF-BDAD-5DFEF069E1BC}">
      <formula1>$AE$16:$AE$18</formula1>
    </dataValidation>
  </dataValidations>
  <pageMargins left="0.19685039370078741" right="0.19685039370078741" top="0.19685039370078741" bottom="0.19685039370078741" header="0.51181102362204722" footer="0.51181102362204722"/>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2C096-F7A8-4AE3-8AE2-DA93D250D83D}">
  <dimension ref="D7:U21"/>
  <sheetViews>
    <sheetView tabSelected="1" workbookViewId="0">
      <selection activeCell="M18" sqref="M18"/>
    </sheetView>
  </sheetViews>
  <sheetFormatPr baseColWidth="10" defaultRowHeight="14.4" x14ac:dyDescent="0.55000000000000004"/>
  <sheetData>
    <row r="7" spans="4:11" x14ac:dyDescent="0.55000000000000004">
      <c r="D7" s="855" t="s">
        <v>651</v>
      </c>
      <c r="E7" s="855" t="s">
        <v>649</v>
      </c>
    </row>
    <row r="8" spans="4:11" ht="17.399999999999999" x14ac:dyDescent="0.55000000000000004">
      <c r="D8" s="29" t="s">
        <v>72</v>
      </c>
      <c r="E8">
        <v>1</v>
      </c>
    </row>
    <row r="9" spans="4:11" ht="17.399999999999999" x14ac:dyDescent="0.55000000000000004">
      <c r="D9" s="29" t="s">
        <v>88</v>
      </c>
      <c r="E9">
        <v>0.5</v>
      </c>
    </row>
    <row r="10" spans="4:11" ht="17.399999999999999" x14ac:dyDescent="0.55000000000000004">
      <c r="D10" s="29" t="s">
        <v>115</v>
      </c>
      <c r="E10">
        <v>0</v>
      </c>
    </row>
    <row r="11" spans="4:11" ht="17.399999999999999" x14ac:dyDescent="0.55000000000000004">
      <c r="D11" s="29" t="s">
        <v>118</v>
      </c>
      <c r="E11" t="s">
        <v>654</v>
      </c>
    </row>
    <row r="12" spans="4:11" ht="17.7" x14ac:dyDescent="0.6">
      <c r="D12" s="29" t="s">
        <v>55</v>
      </c>
      <c r="E12" t="s">
        <v>650</v>
      </c>
      <c r="F12" s="856" t="s">
        <v>652</v>
      </c>
      <c r="H12" s="193"/>
      <c r="K12" s="193"/>
    </row>
    <row r="13" spans="4:11" ht="17.399999999999999" x14ac:dyDescent="0.55000000000000004">
      <c r="F13" s="288" t="s">
        <v>653</v>
      </c>
    </row>
    <row r="14" spans="4:11" ht="17.399999999999999" x14ac:dyDescent="0.55000000000000004">
      <c r="F14" s="288" t="s">
        <v>606</v>
      </c>
    </row>
    <row r="21" spans="15:21" ht="17.7" x14ac:dyDescent="0.6">
      <c r="O21" s="1"/>
      <c r="R21" s="193"/>
      <c r="S21" s="193"/>
      <c r="T21" s="1"/>
      <c r="U21" s="1"/>
    </row>
  </sheetData>
  <dataValidations count="2">
    <dataValidation type="list" allowBlank="1" showInputMessage="1" showErrorMessage="1" sqref="D11 D8:D9" xr:uid="{11E495BB-E494-4791-AE95-4C7C45431ADD}">
      <formula1>$AV$38:$AV$39</formula1>
    </dataValidation>
    <dataValidation type="list" allowBlank="1" showInputMessage="1" showErrorMessage="1" sqref="D12" xr:uid="{7514B6A7-07C1-497C-8212-C9B3A7EF9CDC}">
      <formula1>$BG$8:$BG$10</formula1>
    </dataValidation>
  </dataValidation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22D22-DE59-41A7-983F-D32DE77743BA}">
  <dimension ref="A2:BY664"/>
  <sheetViews>
    <sheetView showGridLines="0" topLeftCell="A20" zoomScale="90" zoomScaleNormal="90" workbookViewId="0">
      <selection activeCell="B33" sqref="B33:Y33"/>
    </sheetView>
  </sheetViews>
  <sheetFormatPr baseColWidth="10" defaultColWidth="11.15625" defaultRowHeight="14.4" x14ac:dyDescent="0.55000000000000004"/>
  <cols>
    <col min="1" max="13" width="4.68359375" customWidth="1"/>
    <col min="14" max="14" width="5.578125" customWidth="1"/>
    <col min="15" max="15" width="5.83984375" customWidth="1"/>
    <col min="16" max="22" width="4.68359375" customWidth="1"/>
    <col min="23" max="23" width="6.83984375" customWidth="1"/>
    <col min="24" max="24" width="4.68359375" customWidth="1"/>
    <col min="25" max="25" width="6.41796875" customWidth="1"/>
    <col min="26" max="30" width="4.68359375" customWidth="1"/>
    <col min="31" max="31" width="34.578125" customWidth="1"/>
    <col min="32" max="48" width="5.68359375" hidden="1" customWidth="1"/>
    <col min="49" max="52" width="11.15625" hidden="1" customWidth="1"/>
    <col min="53" max="61" width="4.68359375" hidden="1" customWidth="1"/>
    <col min="62" max="65" width="11.41796875" hidden="1" customWidth="1"/>
    <col min="66" max="71" width="11.15625" hidden="1" customWidth="1"/>
    <col min="72" max="87" width="11.15625" customWidth="1"/>
  </cols>
  <sheetData>
    <row r="2" spans="1:50" x14ac:dyDescent="0.55000000000000004">
      <c r="AF2" s="17"/>
    </row>
    <row r="3" spans="1:50" ht="15.75" customHeight="1" x14ac:dyDescent="0.55000000000000004">
      <c r="A3" s="484"/>
      <c r="B3" s="484"/>
      <c r="C3" s="484"/>
      <c r="D3" s="484"/>
      <c r="E3" s="485"/>
      <c r="F3" s="64"/>
      <c r="G3" s="72"/>
      <c r="H3" s="72"/>
      <c r="I3" s="72"/>
      <c r="J3" s="72"/>
      <c r="K3" s="72"/>
      <c r="L3" s="72"/>
      <c r="M3" s="72"/>
      <c r="N3" s="72"/>
      <c r="O3" s="72"/>
      <c r="P3" s="72"/>
      <c r="Q3" s="72"/>
      <c r="R3" s="72"/>
      <c r="S3" s="73"/>
      <c r="T3" s="72"/>
      <c r="U3" s="486" t="s">
        <v>278</v>
      </c>
      <c r="V3" s="486"/>
      <c r="W3" s="486"/>
      <c r="X3" s="486"/>
      <c r="Y3" s="65"/>
      <c r="Z3" s="63"/>
      <c r="AA3" s="3"/>
      <c r="AB3" s="3"/>
      <c r="AF3" s="10">
        <v>1</v>
      </c>
      <c r="AG3" s="61" t="s">
        <v>252</v>
      </c>
      <c r="AW3" s="1">
        <v>1</v>
      </c>
      <c r="AX3" s="62" t="s">
        <v>252</v>
      </c>
    </row>
    <row r="4" spans="1:50" ht="15.75" customHeight="1" x14ac:dyDescent="0.55000000000000004">
      <c r="A4" s="484"/>
      <c r="B4" s="484"/>
      <c r="C4" s="484"/>
      <c r="D4" s="484"/>
      <c r="E4" s="485"/>
      <c r="F4" s="471" t="s">
        <v>275</v>
      </c>
      <c r="G4" s="472"/>
      <c r="H4" s="472"/>
      <c r="I4" s="472"/>
      <c r="J4" s="472"/>
      <c r="K4" s="472"/>
      <c r="L4" s="472"/>
      <c r="M4" s="472"/>
      <c r="N4" s="472"/>
      <c r="O4" s="472"/>
      <c r="P4" s="472"/>
      <c r="Q4" s="472"/>
      <c r="R4" s="472"/>
      <c r="S4" s="473"/>
      <c r="T4" s="487" t="s">
        <v>134</v>
      </c>
      <c r="U4" s="487"/>
      <c r="V4" s="487"/>
      <c r="W4" s="487"/>
      <c r="X4" s="487"/>
      <c r="Y4" s="488"/>
      <c r="Z4" s="1"/>
      <c r="AA4" s="1"/>
      <c r="AB4" s="1"/>
      <c r="AF4" s="9"/>
      <c r="AG4" s="62" t="s">
        <v>147</v>
      </c>
      <c r="AW4" s="1">
        <v>2</v>
      </c>
      <c r="AX4" s="62" t="s">
        <v>253</v>
      </c>
    </row>
    <row r="5" spans="1:50" ht="15.75" customHeight="1" x14ac:dyDescent="0.55000000000000004">
      <c r="A5" s="484"/>
      <c r="B5" s="484"/>
      <c r="C5" s="484"/>
      <c r="D5" s="484"/>
      <c r="E5" s="485"/>
      <c r="F5" s="471"/>
      <c r="G5" s="472"/>
      <c r="H5" s="472"/>
      <c r="I5" s="472"/>
      <c r="J5" s="472"/>
      <c r="K5" s="472"/>
      <c r="L5" s="472"/>
      <c r="M5" s="472"/>
      <c r="N5" s="472"/>
      <c r="O5" s="472"/>
      <c r="P5" s="472"/>
      <c r="Q5" s="472"/>
      <c r="R5" s="472"/>
      <c r="S5" s="473"/>
      <c r="T5" s="71"/>
      <c r="U5" s="67"/>
      <c r="V5" s="67"/>
      <c r="W5" s="67"/>
      <c r="X5" s="67"/>
      <c r="Y5" s="68"/>
      <c r="AF5" s="9"/>
      <c r="AG5" s="62" t="s">
        <v>148</v>
      </c>
      <c r="AW5" s="1">
        <v>3</v>
      </c>
      <c r="AX5" s="62" t="s">
        <v>254</v>
      </c>
    </row>
    <row r="6" spans="1:50" ht="15.75" customHeight="1" x14ac:dyDescent="0.55000000000000004">
      <c r="A6" s="484"/>
      <c r="B6" s="484"/>
      <c r="C6" s="484"/>
      <c r="D6" s="484"/>
      <c r="E6" s="485"/>
      <c r="F6" s="471" t="s">
        <v>277</v>
      </c>
      <c r="G6" s="472"/>
      <c r="H6" s="472"/>
      <c r="I6" s="472"/>
      <c r="J6" s="472"/>
      <c r="K6" s="472"/>
      <c r="L6" s="472"/>
      <c r="M6" s="472"/>
      <c r="N6" s="472"/>
      <c r="O6" s="472"/>
      <c r="P6" s="472"/>
      <c r="Q6" s="472"/>
      <c r="R6" s="472"/>
      <c r="S6" s="473"/>
      <c r="T6" s="489" t="s">
        <v>270</v>
      </c>
      <c r="U6" s="489"/>
      <c r="V6" s="489"/>
      <c r="W6" s="489"/>
      <c r="X6" s="489"/>
      <c r="Y6" s="490"/>
      <c r="AF6" s="9"/>
      <c r="AG6" s="62"/>
      <c r="AW6" s="1"/>
      <c r="AX6" s="62"/>
    </row>
    <row r="7" spans="1:50" ht="15.75" customHeight="1" x14ac:dyDescent="0.55000000000000004">
      <c r="A7" s="484"/>
      <c r="B7" s="484"/>
      <c r="C7" s="484"/>
      <c r="D7" s="484"/>
      <c r="E7" s="485"/>
      <c r="F7" s="471"/>
      <c r="G7" s="472"/>
      <c r="H7" s="472"/>
      <c r="I7" s="472"/>
      <c r="J7" s="472"/>
      <c r="K7" s="472"/>
      <c r="L7" s="472"/>
      <c r="M7" s="472"/>
      <c r="N7" s="472"/>
      <c r="O7" s="472"/>
      <c r="P7" s="472"/>
      <c r="Q7" s="472"/>
      <c r="R7" s="472"/>
      <c r="S7" s="473"/>
      <c r="T7" s="71"/>
      <c r="U7" s="67"/>
      <c r="V7" s="67"/>
      <c r="W7" s="67"/>
      <c r="X7" s="67"/>
      <c r="Y7" s="68"/>
      <c r="AF7" s="9"/>
      <c r="AG7" s="62"/>
      <c r="AW7" s="1"/>
      <c r="AX7" s="62"/>
    </row>
    <row r="8" spans="1:50" ht="15.75" customHeight="1" x14ac:dyDescent="0.55000000000000004">
      <c r="A8" s="484"/>
      <c r="B8" s="484"/>
      <c r="C8" s="484"/>
      <c r="D8" s="484"/>
      <c r="E8" s="485"/>
      <c r="F8" s="471"/>
      <c r="G8" s="472"/>
      <c r="H8" s="472"/>
      <c r="I8" s="472"/>
      <c r="J8" s="472"/>
      <c r="K8" s="472"/>
      <c r="L8" s="472"/>
      <c r="M8" s="472"/>
      <c r="N8" s="472"/>
      <c r="O8" s="472"/>
      <c r="P8" s="472"/>
      <c r="Q8" s="472"/>
      <c r="R8" s="472"/>
      <c r="S8" s="473"/>
      <c r="U8" s="491" t="s">
        <v>271</v>
      </c>
      <c r="V8" s="491"/>
      <c r="W8" s="491"/>
      <c r="X8" s="491"/>
      <c r="Y8" s="69"/>
      <c r="AF8" s="9"/>
      <c r="AG8" s="62"/>
      <c r="AW8" s="1"/>
      <c r="AX8" s="62"/>
    </row>
    <row r="9" spans="1:50" ht="15.75" customHeight="1" x14ac:dyDescent="0.55000000000000004">
      <c r="A9" s="484"/>
      <c r="B9" s="484"/>
      <c r="C9" s="484"/>
      <c r="D9" s="484"/>
      <c r="E9" s="485"/>
      <c r="F9" s="570"/>
      <c r="G9" s="571"/>
      <c r="H9" s="571"/>
      <c r="I9" s="571"/>
      <c r="J9" s="571"/>
      <c r="K9" s="571"/>
      <c r="L9" s="571"/>
      <c r="M9" s="571"/>
      <c r="N9" s="571"/>
      <c r="O9" s="571"/>
      <c r="P9" s="571"/>
      <c r="Q9" s="571"/>
      <c r="R9" s="571"/>
      <c r="S9" s="572"/>
      <c r="T9" s="491" t="s">
        <v>67</v>
      </c>
      <c r="U9" s="491"/>
      <c r="V9" s="491"/>
      <c r="W9" s="491"/>
      <c r="X9" s="491"/>
      <c r="Y9" s="492"/>
      <c r="AF9" s="9"/>
      <c r="AG9" s="62" t="s">
        <v>149</v>
      </c>
      <c r="AW9" s="1">
        <v>4</v>
      </c>
      <c r="AX9" s="62" t="s">
        <v>255</v>
      </c>
    </row>
    <row r="10" spans="1:50" ht="15.75" customHeight="1" x14ac:dyDescent="0.55000000000000004">
      <c r="A10" s="202"/>
      <c r="B10" s="203"/>
      <c r="C10" s="203"/>
      <c r="D10" s="203"/>
      <c r="E10" s="203"/>
      <c r="F10" s="208"/>
      <c r="G10" s="208"/>
      <c r="H10" s="208"/>
      <c r="I10" s="208"/>
      <c r="J10" s="208"/>
      <c r="K10" s="208"/>
      <c r="L10" s="208"/>
      <c r="M10" s="208"/>
      <c r="N10" s="208"/>
      <c r="O10" s="208"/>
      <c r="P10" s="208"/>
      <c r="Q10" s="208"/>
      <c r="R10" s="208"/>
      <c r="S10" s="208"/>
      <c r="T10" s="206"/>
      <c r="U10" s="206"/>
      <c r="V10" s="206"/>
      <c r="W10" s="206"/>
      <c r="X10" s="206"/>
      <c r="Y10" s="207"/>
      <c r="AF10" s="9"/>
      <c r="AG10" s="62"/>
      <c r="AW10" s="1"/>
      <c r="AX10" s="62"/>
    </row>
    <row r="11" spans="1:50" ht="15.75" customHeight="1" x14ac:dyDescent="0.55000000000000004">
      <c r="A11" s="317" t="s">
        <v>585</v>
      </c>
      <c r="B11" s="318"/>
      <c r="C11" s="318"/>
      <c r="D11" s="318"/>
      <c r="E11" s="318"/>
      <c r="F11" s="318"/>
      <c r="G11" s="318"/>
      <c r="H11" s="318"/>
      <c r="I11" s="318"/>
      <c r="J11" s="318"/>
      <c r="K11" s="318"/>
      <c r="L11" s="318"/>
      <c r="M11" s="318"/>
      <c r="N11" s="318"/>
      <c r="O11" s="318"/>
      <c r="P11" s="318"/>
      <c r="Q11" s="318"/>
      <c r="R11" s="318"/>
      <c r="S11" s="318"/>
      <c r="T11" s="318"/>
      <c r="U11" s="318"/>
      <c r="V11" s="318"/>
      <c r="W11" s="318"/>
      <c r="X11" s="318"/>
      <c r="Y11" s="319"/>
      <c r="AF11" s="9"/>
      <c r="AG11" s="62"/>
      <c r="AW11" s="1"/>
      <c r="AX11" s="62"/>
    </row>
    <row r="12" spans="1:50" ht="15.75" customHeight="1" x14ac:dyDescent="0.55000000000000004">
      <c r="A12" s="503"/>
      <c r="B12" s="504"/>
      <c r="C12" s="504"/>
      <c r="D12" s="504"/>
      <c r="E12" s="504"/>
      <c r="F12" s="504"/>
      <c r="G12" s="504"/>
      <c r="H12" s="504"/>
      <c r="I12" s="504"/>
      <c r="J12" s="504"/>
      <c r="K12" s="504"/>
      <c r="L12" s="504"/>
      <c r="M12" s="504"/>
      <c r="N12" s="504"/>
      <c r="O12" s="504"/>
      <c r="P12" s="504"/>
      <c r="Q12" s="504"/>
      <c r="R12" s="504"/>
      <c r="S12" s="504"/>
      <c r="T12" s="504"/>
      <c r="U12" s="504"/>
      <c r="V12" s="504"/>
      <c r="W12" s="504"/>
      <c r="X12" s="504"/>
      <c r="Y12" s="505"/>
      <c r="AF12" s="9"/>
      <c r="AG12" s="62"/>
      <c r="AW12" s="1"/>
      <c r="AX12" s="62"/>
    </row>
    <row r="13" spans="1:50" ht="15.75" customHeight="1" x14ac:dyDescent="0.55000000000000004">
      <c r="A13" s="268" t="s">
        <v>586</v>
      </c>
      <c r="B13" s="269"/>
      <c r="C13" s="269"/>
      <c r="D13" s="269"/>
      <c r="E13" s="269"/>
      <c r="F13" s="269"/>
      <c r="G13" s="269"/>
      <c r="H13" s="269"/>
      <c r="I13" s="269"/>
      <c r="J13" s="269"/>
      <c r="K13" s="269"/>
      <c r="L13" s="269"/>
      <c r="M13" s="269"/>
      <c r="N13" s="269"/>
      <c r="O13" s="269"/>
      <c r="P13" s="269"/>
      <c r="Q13" s="269"/>
      <c r="R13" s="269"/>
      <c r="S13" s="269"/>
      <c r="T13" s="269"/>
      <c r="U13" s="269"/>
      <c r="V13" s="269"/>
      <c r="W13" s="269"/>
      <c r="X13" s="269"/>
      <c r="Y13" s="270"/>
      <c r="AF13" s="9"/>
      <c r="AG13" s="62"/>
      <c r="AW13" s="1"/>
      <c r="AX13" s="62"/>
    </row>
    <row r="14" spans="1:50" ht="15.75" customHeight="1" x14ac:dyDescent="0.55000000000000004">
      <c r="A14" s="160"/>
      <c r="B14" s="2"/>
      <c r="C14" s="2"/>
      <c r="D14" s="2"/>
      <c r="E14" s="2"/>
      <c r="F14" s="2"/>
      <c r="G14" s="2"/>
      <c r="H14" s="2"/>
      <c r="I14" s="2"/>
      <c r="J14" s="2"/>
      <c r="K14" s="2"/>
      <c r="L14" s="2"/>
      <c r="M14" s="2"/>
      <c r="N14" s="2"/>
      <c r="O14" s="2"/>
      <c r="P14" s="2"/>
      <c r="Q14" s="2"/>
      <c r="R14" s="2"/>
      <c r="S14" s="2"/>
      <c r="T14" s="2"/>
      <c r="U14" s="2"/>
      <c r="V14" s="204"/>
      <c r="W14" s="204"/>
      <c r="X14" s="204"/>
      <c r="Y14" s="205"/>
      <c r="AF14" s="9"/>
      <c r="AG14" s="62"/>
      <c r="AW14" s="1"/>
      <c r="AX14" s="62"/>
    </row>
    <row r="15" spans="1:50" ht="15.75" customHeight="1" x14ac:dyDescent="0.55000000000000004">
      <c r="A15" s="506" t="s">
        <v>587</v>
      </c>
      <c r="B15" s="507"/>
      <c r="C15" s="507"/>
      <c r="D15" s="507"/>
      <c r="E15" s="507"/>
      <c r="F15" s="507"/>
      <c r="G15" s="507"/>
      <c r="H15" s="507"/>
      <c r="I15" s="507"/>
      <c r="J15" s="507"/>
      <c r="K15" s="507"/>
      <c r="L15" s="507"/>
      <c r="M15" s="507"/>
      <c r="N15" s="507"/>
      <c r="O15" s="507"/>
      <c r="P15" s="507"/>
      <c r="Q15" s="507"/>
      <c r="R15" s="507"/>
      <c r="S15" s="507"/>
      <c r="T15" s="507"/>
      <c r="U15" s="507"/>
      <c r="V15" s="507"/>
      <c r="W15" s="507"/>
      <c r="X15" s="507"/>
      <c r="Y15" s="508"/>
      <c r="AF15" s="9"/>
      <c r="AG15" s="62"/>
      <c r="AW15" s="1"/>
      <c r="AX15" s="62"/>
    </row>
    <row r="16" spans="1:50" ht="15.75" customHeight="1" x14ac:dyDescent="0.55000000000000004">
      <c r="A16" s="509" t="s">
        <v>588</v>
      </c>
      <c r="B16" s="510"/>
      <c r="C16" s="510"/>
      <c r="D16" s="510"/>
      <c r="E16" s="510"/>
      <c r="F16" s="510"/>
      <c r="G16" s="510"/>
      <c r="H16" s="510"/>
      <c r="I16" s="510"/>
      <c r="J16" s="510"/>
      <c r="K16" s="510"/>
      <c r="L16" s="510"/>
      <c r="M16" s="510"/>
      <c r="N16" s="510"/>
      <c r="O16" s="510"/>
      <c r="P16" s="510"/>
      <c r="Q16" s="510"/>
      <c r="R16" s="510"/>
      <c r="S16" s="510"/>
      <c r="T16" s="510"/>
      <c r="U16" s="510"/>
      <c r="V16" s="510"/>
      <c r="W16" s="510"/>
      <c r="X16" s="510"/>
      <c r="Y16" s="511"/>
      <c r="AF16" s="9"/>
      <c r="AG16" s="62"/>
      <c r="AW16" s="1"/>
      <c r="AX16" s="62"/>
    </row>
    <row r="17" spans="1:50" ht="15.75" customHeight="1" x14ac:dyDescent="0.55000000000000004">
      <c r="A17" s="160"/>
      <c r="B17" s="2"/>
      <c r="C17" s="2"/>
      <c r="D17" s="2"/>
      <c r="E17" s="2"/>
      <c r="F17" s="2"/>
      <c r="G17" s="2"/>
      <c r="H17" s="2"/>
      <c r="I17" s="2"/>
      <c r="J17" s="2"/>
      <c r="K17" s="2"/>
      <c r="L17" s="2"/>
      <c r="M17" s="2"/>
      <c r="N17" s="2"/>
      <c r="O17" s="2"/>
      <c r="P17" s="2"/>
      <c r="Q17" s="2"/>
      <c r="R17" s="2"/>
      <c r="S17" s="2"/>
      <c r="T17" s="2"/>
      <c r="U17" s="2"/>
      <c r="V17" s="204"/>
      <c r="W17" s="204"/>
      <c r="X17" s="204"/>
      <c r="Y17" s="205"/>
      <c r="AF17" s="9"/>
      <c r="AG17" s="62"/>
      <c r="AW17" s="1"/>
      <c r="AX17" s="62"/>
    </row>
    <row r="18" spans="1:50" ht="15.75" customHeight="1" x14ac:dyDescent="0.55000000000000004">
      <c r="A18" s="271" t="s">
        <v>589</v>
      </c>
      <c r="B18" s="76"/>
      <c r="C18" s="76"/>
      <c r="D18" s="76"/>
      <c r="E18" s="76"/>
      <c r="F18" s="76"/>
      <c r="G18" s="76"/>
      <c r="H18" s="76"/>
      <c r="I18" s="76"/>
      <c r="J18" s="76"/>
      <c r="K18" s="76"/>
      <c r="L18" s="76"/>
      <c r="M18" s="76"/>
      <c r="N18" s="76"/>
      <c r="O18" s="76"/>
      <c r="P18" s="76"/>
      <c r="Q18" s="76"/>
      <c r="R18" s="76"/>
      <c r="S18" s="76"/>
      <c r="T18" s="76"/>
      <c r="U18" s="76"/>
      <c r="V18" s="204"/>
      <c r="W18" s="204"/>
      <c r="X18" s="204"/>
      <c r="Y18" s="205"/>
      <c r="AF18" s="9"/>
      <c r="AG18" s="62"/>
      <c r="AW18" s="1"/>
      <c r="AX18" s="62"/>
    </row>
    <row r="19" spans="1:50" ht="15.75" customHeight="1" x14ac:dyDescent="0.55000000000000004">
      <c r="A19" s="512" t="s">
        <v>590</v>
      </c>
      <c r="B19" s="513"/>
      <c r="C19" s="513"/>
      <c r="D19" s="513"/>
      <c r="E19" s="513"/>
      <c r="F19" s="513"/>
      <c r="G19" s="513"/>
      <c r="H19" s="513"/>
      <c r="I19" s="513"/>
      <c r="J19" s="513"/>
      <c r="K19" s="513"/>
      <c r="L19" s="513"/>
      <c r="M19" s="513"/>
      <c r="N19" s="513"/>
      <c r="O19" s="513"/>
      <c r="P19" s="513"/>
      <c r="Q19" s="513"/>
      <c r="R19" s="513"/>
      <c r="S19" s="513"/>
      <c r="T19" s="513"/>
      <c r="U19" s="513"/>
      <c r="V19" s="513"/>
      <c r="W19" s="513"/>
      <c r="X19" s="513"/>
      <c r="Y19" s="514"/>
      <c r="AF19" s="9"/>
      <c r="AG19" s="62"/>
      <c r="AW19" s="1"/>
      <c r="AX19" s="62"/>
    </row>
    <row r="20" spans="1:50" ht="15.75" customHeight="1" x14ac:dyDescent="0.55000000000000004">
      <c r="A20" s="272"/>
      <c r="B20" s="76"/>
      <c r="C20" s="76"/>
      <c r="D20" s="76"/>
      <c r="E20" s="76"/>
      <c r="F20" s="76"/>
      <c r="G20" s="76"/>
      <c r="H20" s="76"/>
      <c r="I20" s="76"/>
      <c r="J20" s="76"/>
      <c r="K20" s="76"/>
      <c r="L20" s="76"/>
      <c r="M20" s="76"/>
      <c r="N20" s="76"/>
      <c r="O20" s="76"/>
      <c r="P20" s="76"/>
      <c r="Q20" s="76"/>
      <c r="R20" s="76"/>
      <c r="S20" s="76"/>
      <c r="T20" s="76"/>
      <c r="U20" s="76"/>
      <c r="V20" s="204"/>
      <c r="W20" s="204"/>
      <c r="X20" s="204"/>
      <c r="Y20" s="205"/>
      <c r="AF20" s="9"/>
      <c r="AG20" s="62"/>
      <c r="AW20" s="1"/>
      <c r="AX20" s="62"/>
    </row>
    <row r="21" spans="1:50" ht="15.75" customHeight="1" x14ac:dyDescent="0.55000000000000004">
      <c r="A21" s="271" t="s">
        <v>591</v>
      </c>
      <c r="B21" s="76"/>
      <c r="C21" s="76"/>
      <c r="D21" s="76"/>
      <c r="E21" s="76"/>
      <c r="F21" s="76"/>
      <c r="G21" s="76"/>
      <c r="H21" s="76"/>
      <c r="I21" s="76"/>
      <c r="J21" s="76"/>
      <c r="K21" s="76"/>
      <c r="L21" s="76"/>
      <c r="M21" s="76"/>
      <c r="N21" s="76"/>
      <c r="O21" s="76"/>
      <c r="P21" s="76"/>
      <c r="Q21" s="76"/>
      <c r="R21" s="76"/>
      <c r="S21" s="76"/>
      <c r="T21" s="76"/>
      <c r="U21" s="76"/>
      <c r="V21" s="204"/>
      <c r="W21" s="204"/>
      <c r="X21" s="204"/>
      <c r="Y21" s="205"/>
      <c r="AF21" s="9"/>
      <c r="AG21" s="62"/>
      <c r="AW21" s="1"/>
      <c r="AX21" s="62"/>
    </row>
    <row r="22" spans="1:50" ht="15.75" customHeight="1" x14ac:dyDescent="0.55000000000000004">
      <c r="A22" s="515" t="s">
        <v>592</v>
      </c>
      <c r="B22" s="516"/>
      <c r="C22" s="516"/>
      <c r="D22" s="516"/>
      <c r="E22" s="516"/>
      <c r="F22" s="516"/>
      <c r="G22" s="516"/>
      <c r="H22" s="516"/>
      <c r="I22" s="516"/>
      <c r="J22" s="516"/>
      <c r="K22" s="516"/>
      <c r="L22" s="516"/>
      <c r="M22" s="516"/>
      <c r="N22" s="516"/>
      <c r="O22" s="516"/>
      <c r="P22" s="516"/>
      <c r="Q22" s="516"/>
      <c r="R22" s="516"/>
      <c r="S22" s="516"/>
      <c r="T22" s="516"/>
      <c r="U22" s="516"/>
      <c r="V22" s="204"/>
      <c r="W22" s="204"/>
      <c r="X22" s="204"/>
      <c r="Y22" s="205"/>
      <c r="AF22" s="9"/>
      <c r="AG22" s="62"/>
      <c r="AW22" s="1"/>
      <c r="AX22" s="62"/>
    </row>
    <row r="23" spans="1:50" ht="15.75" customHeight="1" x14ac:dyDescent="0.55000000000000004">
      <c r="A23" s="202"/>
      <c r="B23" s="203"/>
      <c r="C23" s="203"/>
      <c r="D23" s="203"/>
      <c r="E23" s="203"/>
      <c r="F23" s="208"/>
      <c r="G23" s="208"/>
      <c r="H23" s="208"/>
      <c r="I23" s="208"/>
      <c r="J23" s="208"/>
      <c r="K23" s="208"/>
      <c r="L23" s="208"/>
      <c r="M23" s="208"/>
      <c r="N23" s="208"/>
      <c r="O23" s="208"/>
      <c r="P23" s="208"/>
      <c r="Q23" s="208"/>
      <c r="R23" s="208"/>
      <c r="S23" s="208"/>
      <c r="T23" s="206"/>
      <c r="U23" s="206"/>
      <c r="V23" s="206"/>
      <c r="W23" s="206"/>
      <c r="X23" s="206"/>
      <c r="Y23" s="207"/>
      <c r="AF23" s="9"/>
      <c r="AG23" s="62"/>
      <c r="AW23" s="1"/>
      <c r="AX23" s="62"/>
    </row>
    <row r="24" spans="1:50" ht="15.75" customHeight="1" x14ac:dyDescent="0.55000000000000004">
      <c r="A24" s="305" t="s">
        <v>593</v>
      </c>
      <c r="B24" s="305"/>
      <c r="C24" s="305"/>
      <c r="D24" s="305"/>
      <c r="E24" s="305"/>
      <c r="F24" s="305"/>
      <c r="G24" s="305"/>
      <c r="H24" s="305"/>
      <c r="I24" s="305"/>
      <c r="J24" s="305"/>
      <c r="K24" s="305"/>
      <c r="L24" s="305"/>
      <c r="M24" s="305"/>
      <c r="N24" s="305"/>
      <c r="O24" s="305"/>
      <c r="P24" s="305"/>
      <c r="Q24" s="305"/>
      <c r="R24" s="305"/>
      <c r="S24" s="305"/>
      <c r="T24" s="305"/>
      <c r="U24" s="305"/>
      <c r="V24" s="305"/>
      <c r="W24" s="305"/>
      <c r="X24" s="305"/>
      <c r="Y24" s="305"/>
      <c r="AF24" s="9"/>
      <c r="AG24" s="62"/>
      <c r="AW24" s="1"/>
      <c r="AX24" s="62"/>
    </row>
    <row r="25" spans="1:50" ht="15.75" customHeight="1" x14ac:dyDescent="0.55000000000000004">
      <c r="A25" s="8">
        <v>1</v>
      </c>
      <c r="B25" s="306" t="s">
        <v>41</v>
      </c>
      <c r="C25" s="307"/>
      <c r="D25" s="307"/>
      <c r="E25" s="307"/>
      <c r="F25" s="307"/>
      <c r="G25" s="307"/>
      <c r="H25" s="307"/>
      <c r="I25" s="307"/>
      <c r="J25" s="307"/>
      <c r="K25" s="307"/>
      <c r="L25" s="307"/>
      <c r="M25" s="307"/>
      <c r="N25" s="307"/>
      <c r="O25" s="307"/>
      <c r="P25" s="307"/>
      <c r="Q25" s="307"/>
      <c r="R25" s="307"/>
      <c r="S25" s="307"/>
      <c r="T25" s="307"/>
      <c r="U25" s="307"/>
      <c r="V25" s="307"/>
      <c r="W25" s="307"/>
      <c r="X25" s="307"/>
      <c r="Y25" s="308"/>
      <c r="AF25" s="9"/>
      <c r="AG25" s="62"/>
      <c r="AW25" s="1"/>
      <c r="AX25" s="62"/>
    </row>
    <row r="26" spans="1:50" ht="15.75" customHeight="1" x14ac:dyDescent="0.55000000000000004">
      <c r="A26" s="8">
        <v>2</v>
      </c>
      <c r="B26" s="306" t="s">
        <v>40</v>
      </c>
      <c r="C26" s="307"/>
      <c r="D26" s="307"/>
      <c r="E26" s="307"/>
      <c r="F26" s="307"/>
      <c r="G26" s="307"/>
      <c r="H26" s="307"/>
      <c r="I26" s="307"/>
      <c r="J26" s="307"/>
      <c r="K26" s="307"/>
      <c r="L26" s="307"/>
      <c r="M26" s="307"/>
      <c r="N26" s="307"/>
      <c r="O26" s="307"/>
      <c r="P26" s="307"/>
      <c r="Q26" s="307"/>
      <c r="R26" s="307"/>
      <c r="S26" s="307"/>
      <c r="T26" s="307"/>
      <c r="U26" s="307"/>
      <c r="V26" s="307"/>
      <c r="W26" s="307"/>
      <c r="X26" s="307"/>
      <c r="Y26" s="308"/>
      <c r="AF26" s="9"/>
      <c r="AG26" s="62"/>
      <c r="AW26" s="1"/>
      <c r="AX26" s="62"/>
    </row>
    <row r="27" spans="1:50" ht="15.75" customHeight="1" x14ac:dyDescent="0.55000000000000004">
      <c r="A27" s="8">
        <v>3</v>
      </c>
      <c r="B27" s="306" t="s">
        <v>42</v>
      </c>
      <c r="C27" s="307"/>
      <c r="D27" s="307"/>
      <c r="E27" s="307"/>
      <c r="F27" s="307"/>
      <c r="G27" s="307"/>
      <c r="H27" s="307"/>
      <c r="I27" s="307"/>
      <c r="J27" s="307"/>
      <c r="K27" s="307"/>
      <c r="L27" s="307"/>
      <c r="M27" s="307"/>
      <c r="N27" s="307"/>
      <c r="O27" s="307"/>
      <c r="P27" s="307"/>
      <c r="Q27" s="307"/>
      <c r="R27" s="307"/>
      <c r="S27" s="307"/>
      <c r="T27" s="307"/>
      <c r="U27" s="307"/>
      <c r="V27" s="307"/>
      <c r="W27" s="307"/>
      <c r="X27" s="307"/>
      <c r="Y27" s="308"/>
      <c r="AF27" s="9"/>
      <c r="AG27" s="62"/>
      <c r="AW27" s="1"/>
      <c r="AX27" s="62"/>
    </row>
    <row r="28" spans="1:50" ht="15.75" customHeight="1" x14ac:dyDescent="0.55000000000000004">
      <c r="A28" s="8">
        <v>4</v>
      </c>
      <c r="B28" s="306" t="s">
        <v>43</v>
      </c>
      <c r="C28" s="307"/>
      <c r="D28" s="307"/>
      <c r="E28" s="307"/>
      <c r="F28" s="307"/>
      <c r="G28" s="307"/>
      <c r="H28" s="307"/>
      <c r="I28" s="307"/>
      <c r="J28" s="307"/>
      <c r="K28" s="307"/>
      <c r="L28" s="307"/>
      <c r="M28" s="307"/>
      <c r="N28" s="307"/>
      <c r="O28" s="307"/>
      <c r="P28" s="307"/>
      <c r="Q28" s="307"/>
      <c r="R28" s="307"/>
      <c r="S28" s="307"/>
      <c r="T28" s="307"/>
      <c r="U28" s="307"/>
      <c r="V28" s="307"/>
      <c r="W28" s="307"/>
      <c r="X28" s="307"/>
      <c r="Y28" s="308"/>
      <c r="AF28" s="9"/>
      <c r="AG28" s="62"/>
      <c r="AW28" s="1"/>
      <c r="AX28" s="62"/>
    </row>
    <row r="29" spans="1:50" ht="15.75" customHeight="1" x14ac:dyDescent="0.55000000000000004">
      <c r="A29" s="8">
        <v>5</v>
      </c>
      <c r="B29" s="306" t="s">
        <v>44</v>
      </c>
      <c r="C29" s="307"/>
      <c r="D29" s="307"/>
      <c r="E29" s="307"/>
      <c r="F29" s="307"/>
      <c r="G29" s="307"/>
      <c r="H29" s="307"/>
      <c r="I29" s="307"/>
      <c r="J29" s="307"/>
      <c r="K29" s="307"/>
      <c r="L29" s="307"/>
      <c r="M29" s="307"/>
      <c r="N29" s="307"/>
      <c r="O29" s="307"/>
      <c r="P29" s="307"/>
      <c r="Q29" s="307"/>
      <c r="R29" s="307"/>
      <c r="S29" s="307"/>
      <c r="T29" s="307"/>
      <c r="U29" s="307"/>
      <c r="V29" s="307"/>
      <c r="W29" s="307"/>
      <c r="X29" s="307"/>
      <c r="Y29" s="308"/>
      <c r="AF29" s="9"/>
      <c r="AG29" s="62"/>
      <c r="AW29" s="1"/>
      <c r="AX29" s="62"/>
    </row>
    <row r="30" spans="1:50" ht="15.75" customHeight="1" x14ac:dyDescent="0.55000000000000004">
      <c r="A30" s="8">
        <v>6</v>
      </c>
      <c r="B30" s="306" t="s">
        <v>45</v>
      </c>
      <c r="C30" s="307"/>
      <c r="D30" s="307"/>
      <c r="E30" s="307"/>
      <c r="F30" s="307"/>
      <c r="G30" s="307"/>
      <c r="H30" s="307"/>
      <c r="I30" s="307"/>
      <c r="J30" s="307"/>
      <c r="K30" s="307"/>
      <c r="L30" s="307"/>
      <c r="M30" s="307"/>
      <c r="N30" s="307"/>
      <c r="O30" s="307"/>
      <c r="P30" s="307"/>
      <c r="Q30" s="307"/>
      <c r="R30" s="307"/>
      <c r="S30" s="307"/>
      <c r="T30" s="307"/>
      <c r="U30" s="307"/>
      <c r="V30" s="307"/>
      <c r="W30" s="307"/>
      <c r="X30" s="307"/>
      <c r="Y30" s="308"/>
      <c r="AF30" s="9"/>
      <c r="AG30" s="62"/>
      <c r="AW30" s="1"/>
      <c r="AX30" s="62"/>
    </row>
    <row r="31" spans="1:50" ht="15.75" customHeight="1" x14ac:dyDescent="0.6">
      <c r="A31" s="301"/>
      <c r="B31" s="302"/>
      <c r="C31" s="302"/>
      <c r="D31" s="302"/>
      <c r="E31" s="302"/>
      <c r="F31" s="303"/>
      <c r="G31" s="303"/>
      <c r="H31" s="303"/>
      <c r="I31" s="303"/>
      <c r="J31" s="303"/>
      <c r="K31" s="303"/>
      <c r="L31" s="303"/>
      <c r="M31" s="303"/>
      <c r="N31" s="303"/>
      <c r="O31" s="303"/>
      <c r="P31" s="303"/>
      <c r="Q31" s="303"/>
      <c r="R31" s="303"/>
      <c r="S31" s="303"/>
      <c r="T31" s="303"/>
      <c r="U31" s="303"/>
      <c r="V31" s="303"/>
      <c r="W31" s="303"/>
      <c r="X31" s="303"/>
      <c r="Y31" s="304"/>
      <c r="AF31" s="9"/>
      <c r="AG31" s="62"/>
      <c r="AW31" s="1"/>
      <c r="AX31" s="62"/>
    </row>
    <row r="32" spans="1:50" ht="15.75" customHeight="1" x14ac:dyDescent="0.55000000000000004">
      <c r="A32" s="317" t="s">
        <v>648</v>
      </c>
      <c r="B32" s="318"/>
      <c r="C32" s="318"/>
      <c r="D32" s="318"/>
      <c r="E32" s="318"/>
      <c r="F32" s="318"/>
      <c r="G32" s="318"/>
      <c r="H32" s="318"/>
      <c r="I32" s="318"/>
      <c r="J32" s="318"/>
      <c r="K32" s="318"/>
      <c r="L32" s="318"/>
      <c r="M32" s="318"/>
      <c r="N32" s="318"/>
      <c r="O32" s="318"/>
      <c r="P32" s="318"/>
      <c r="Q32" s="318"/>
      <c r="R32" s="318"/>
      <c r="S32" s="318"/>
      <c r="T32" s="318"/>
      <c r="U32" s="318"/>
      <c r="V32" s="318"/>
      <c r="W32" s="318"/>
      <c r="X32" s="318"/>
      <c r="Y32" s="319"/>
      <c r="AF32" s="9"/>
      <c r="AG32" s="62"/>
      <c r="AW32" s="1"/>
      <c r="AX32" s="62"/>
    </row>
    <row r="33" spans="1:77" ht="100.5" customHeight="1" x14ac:dyDescent="0.55000000000000004">
      <c r="A33" s="209">
        <v>1</v>
      </c>
      <c r="B33" s="320" t="s">
        <v>646</v>
      </c>
      <c r="C33" s="320"/>
      <c r="D33" s="320"/>
      <c r="E33" s="320"/>
      <c r="F33" s="320"/>
      <c r="G33" s="320"/>
      <c r="H33" s="320"/>
      <c r="I33" s="320"/>
      <c r="J33" s="320"/>
      <c r="K33" s="320"/>
      <c r="L33" s="320"/>
      <c r="M33" s="320"/>
      <c r="N33" s="320"/>
      <c r="O33" s="320"/>
      <c r="P33" s="320"/>
      <c r="Q33" s="320"/>
      <c r="R33" s="320"/>
      <c r="S33" s="320"/>
      <c r="T33" s="320"/>
      <c r="U33" s="320"/>
      <c r="V33" s="320"/>
      <c r="W33" s="320"/>
      <c r="X33" s="320"/>
      <c r="Y33" s="320"/>
      <c r="AF33" s="9"/>
      <c r="AG33" s="62"/>
      <c r="AW33" s="1"/>
      <c r="AX33" s="62"/>
    </row>
    <row r="34" spans="1:77" ht="15.75" customHeight="1" x14ac:dyDescent="0.55000000000000004">
      <c r="A34" s="8">
        <v>2</v>
      </c>
      <c r="B34" s="321" t="s">
        <v>637</v>
      </c>
      <c r="C34" s="321"/>
      <c r="D34" s="321"/>
      <c r="E34" s="321"/>
      <c r="F34" s="321"/>
      <c r="G34" s="321"/>
      <c r="H34" s="321"/>
      <c r="I34" s="321"/>
      <c r="J34" s="321"/>
      <c r="K34" s="321"/>
      <c r="L34" s="321"/>
      <c r="M34" s="321"/>
      <c r="N34" s="321"/>
      <c r="O34" s="321"/>
      <c r="P34" s="321"/>
      <c r="Q34" s="321"/>
      <c r="R34" s="321"/>
      <c r="S34" s="321"/>
      <c r="T34" s="321"/>
      <c r="U34" s="321"/>
      <c r="V34" s="321"/>
      <c r="W34" s="321"/>
      <c r="X34" s="321"/>
      <c r="Y34" s="321"/>
      <c r="AF34" s="9"/>
      <c r="AG34" s="62"/>
      <c r="AW34" s="1"/>
      <c r="AX34" s="62"/>
    </row>
    <row r="35" spans="1:77" ht="15.75" customHeight="1" x14ac:dyDescent="0.55000000000000004">
      <c r="A35" s="8">
        <v>3</v>
      </c>
      <c r="B35" s="321" t="s">
        <v>638</v>
      </c>
      <c r="C35" s="321"/>
      <c r="D35" s="321"/>
      <c r="E35" s="321"/>
      <c r="F35" s="321"/>
      <c r="G35" s="321"/>
      <c r="H35" s="321"/>
      <c r="I35" s="321"/>
      <c r="J35" s="321"/>
      <c r="K35" s="321"/>
      <c r="L35" s="321"/>
      <c r="M35" s="321"/>
      <c r="N35" s="321"/>
      <c r="O35" s="321"/>
      <c r="P35" s="321"/>
      <c r="Q35" s="321"/>
      <c r="R35" s="321"/>
      <c r="S35" s="321"/>
      <c r="T35" s="321"/>
      <c r="U35" s="321"/>
      <c r="V35" s="321"/>
      <c r="W35" s="321"/>
      <c r="X35" s="321"/>
      <c r="Y35" s="321"/>
      <c r="AF35" s="9"/>
      <c r="AG35" s="62"/>
      <c r="AW35" s="1"/>
      <c r="AX35" s="62"/>
    </row>
    <row r="36" spans="1:77" ht="15.75" customHeight="1" x14ac:dyDescent="0.55000000000000004">
      <c r="A36" s="8">
        <v>4</v>
      </c>
      <c r="B36" s="321" t="s">
        <v>636</v>
      </c>
      <c r="C36" s="321"/>
      <c r="D36" s="321"/>
      <c r="E36" s="321"/>
      <c r="F36" s="321"/>
      <c r="G36" s="321"/>
      <c r="H36" s="321"/>
      <c r="I36" s="321"/>
      <c r="J36" s="321"/>
      <c r="K36" s="321"/>
      <c r="L36" s="321"/>
      <c r="M36" s="321"/>
      <c r="N36" s="321"/>
      <c r="O36" s="321"/>
      <c r="P36" s="321"/>
      <c r="Q36" s="321"/>
      <c r="R36" s="321"/>
      <c r="S36" s="321"/>
      <c r="T36" s="321"/>
      <c r="U36" s="321"/>
      <c r="V36" s="321"/>
      <c r="W36" s="321"/>
      <c r="X36" s="321"/>
      <c r="Y36" s="321"/>
      <c r="AF36" s="9"/>
      <c r="AG36" s="62"/>
      <c r="AW36" s="1"/>
      <c r="AX36" s="62"/>
    </row>
    <row r="37" spans="1:77" ht="49" customHeight="1" x14ac:dyDescent="0.55000000000000004">
      <c r="A37" s="209">
        <v>5</v>
      </c>
      <c r="B37" s="322" t="s">
        <v>647</v>
      </c>
      <c r="C37" s="322"/>
      <c r="D37" s="322"/>
      <c r="E37" s="322"/>
      <c r="F37" s="322"/>
      <c r="G37" s="322"/>
      <c r="H37" s="322"/>
      <c r="I37" s="322"/>
      <c r="J37" s="322"/>
      <c r="K37" s="322"/>
      <c r="L37" s="322"/>
      <c r="M37" s="322"/>
      <c r="N37" s="322"/>
      <c r="O37" s="322"/>
      <c r="P37" s="322"/>
      <c r="Q37" s="322"/>
      <c r="R37" s="322"/>
      <c r="S37" s="322"/>
      <c r="T37" s="322"/>
      <c r="U37" s="322"/>
      <c r="V37" s="322"/>
      <c r="W37" s="322"/>
      <c r="X37" s="322"/>
      <c r="Y37" s="322"/>
      <c r="AF37" s="9"/>
      <c r="AG37" s="62"/>
      <c r="AW37" s="1"/>
      <c r="AX37" s="62"/>
    </row>
    <row r="38" spans="1:77" ht="15.75" customHeight="1" x14ac:dyDescent="0.55000000000000004">
      <c r="A38" s="202"/>
      <c r="B38" s="203"/>
      <c r="C38" s="203"/>
      <c r="D38" s="203"/>
      <c r="E38" s="203"/>
      <c r="F38" s="208"/>
      <c r="G38" s="208"/>
      <c r="H38" s="208"/>
      <c r="I38" s="208"/>
      <c r="J38" s="208"/>
      <c r="K38" s="208"/>
      <c r="L38" s="208"/>
      <c r="M38" s="208"/>
      <c r="N38" s="208"/>
      <c r="O38" s="208"/>
      <c r="P38" s="208"/>
      <c r="Q38" s="208"/>
      <c r="R38" s="208"/>
      <c r="S38" s="208"/>
      <c r="T38" s="206"/>
      <c r="U38" s="206"/>
      <c r="V38" s="206"/>
      <c r="W38" s="206"/>
      <c r="X38" s="206"/>
      <c r="Y38" s="207"/>
      <c r="AF38" s="9"/>
      <c r="AG38" s="62"/>
      <c r="AW38" s="1"/>
      <c r="AX38" s="62"/>
    </row>
    <row r="39" spans="1:77" ht="15.75" customHeight="1" x14ac:dyDescent="0.55000000000000004">
      <c r="A39" s="314" t="s">
        <v>594</v>
      </c>
      <c r="B39" s="315"/>
      <c r="C39" s="315"/>
      <c r="D39" s="315"/>
      <c r="E39" s="315"/>
      <c r="F39" s="315"/>
      <c r="G39" s="315"/>
      <c r="H39" s="315"/>
      <c r="I39" s="315"/>
      <c r="J39" s="315"/>
      <c r="K39" s="315"/>
      <c r="L39" s="315"/>
      <c r="M39" s="315"/>
      <c r="N39" s="315"/>
      <c r="O39" s="315"/>
      <c r="P39" s="315"/>
      <c r="Q39" s="315"/>
      <c r="R39" s="315"/>
      <c r="S39" s="315"/>
      <c r="T39" s="315"/>
      <c r="U39" s="315"/>
      <c r="V39" s="315"/>
      <c r="W39" s="315"/>
      <c r="X39" s="315"/>
      <c r="Y39" s="316"/>
      <c r="AF39" s="9"/>
      <c r="AG39" s="62"/>
      <c r="AW39" s="1"/>
      <c r="AX39" s="62"/>
    </row>
    <row r="40" spans="1:77" ht="32.25" customHeight="1" x14ac:dyDescent="0.55000000000000004">
      <c r="A40" s="209">
        <v>1</v>
      </c>
      <c r="B40" s="309" t="s">
        <v>595</v>
      </c>
      <c r="C40" s="310"/>
      <c r="D40" s="310"/>
      <c r="E40" s="310"/>
      <c r="F40" s="310"/>
      <c r="G40" s="310"/>
      <c r="H40" s="310"/>
      <c r="I40" s="310"/>
      <c r="J40" s="310"/>
      <c r="K40" s="310"/>
      <c r="L40" s="310"/>
      <c r="M40" s="310"/>
      <c r="N40" s="310"/>
      <c r="O40" s="310"/>
      <c r="P40" s="310"/>
      <c r="Q40" s="310"/>
      <c r="R40" s="310"/>
      <c r="S40" s="310"/>
      <c r="T40" s="310"/>
      <c r="U40" s="310"/>
      <c r="V40" s="310"/>
      <c r="W40" s="310"/>
      <c r="X40" s="310"/>
      <c r="Y40" s="310"/>
      <c r="AF40" s="9"/>
      <c r="AG40" s="62"/>
      <c r="AW40" s="1"/>
      <c r="AX40" s="62"/>
    </row>
    <row r="41" spans="1:77" ht="32.25" customHeight="1" x14ac:dyDescent="0.55000000000000004">
      <c r="A41" s="209">
        <v>2</v>
      </c>
      <c r="B41" s="309" t="s">
        <v>596</v>
      </c>
      <c r="C41" s="310"/>
      <c r="D41" s="310"/>
      <c r="E41" s="310"/>
      <c r="F41" s="310"/>
      <c r="G41" s="310"/>
      <c r="H41" s="310"/>
      <c r="I41" s="310"/>
      <c r="J41" s="310"/>
      <c r="K41" s="310"/>
      <c r="L41" s="310"/>
      <c r="M41" s="310"/>
      <c r="N41" s="310"/>
      <c r="O41" s="310"/>
      <c r="P41" s="310"/>
      <c r="Q41" s="310"/>
      <c r="R41" s="310"/>
      <c r="S41" s="310"/>
      <c r="T41" s="310"/>
      <c r="U41" s="310"/>
      <c r="V41" s="310"/>
      <c r="W41" s="310"/>
      <c r="X41" s="310"/>
      <c r="Y41" s="310"/>
      <c r="AF41" s="9"/>
      <c r="AG41" s="62"/>
      <c r="AW41" s="1"/>
      <c r="AX41" s="62"/>
    </row>
    <row r="42" spans="1:77" ht="33.75" customHeight="1" x14ac:dyDescent="0.55000000000000004">
      <c r="A42" s="273">
        <v>3</v>
      </c>
      <c r="B42" s="309" t="s">
        <v>597</v>
      </c>
      <c r="C42" s="310"/>
      <c r="D42" s="310"/>
      <c r="E42" s="310"/>
      <c r="F42" s="310"/>
      <c r="G42" s="310"/>
      <c r="H42" s="310"/>
      <c r="I42" s="310"/>
      <c r="J42" s="310"/>
      <c r="K42" s="310"/>
      <c r="L42" s="310"/>
      <c r="M42" s="310"/>
      <c r="N42" s="310"/>
      <c r="O42" s="310"/>
      <c r="P42" s="310"/>
      <c r="Q42" s="310"/>
      <c r="R42" s="310"/>
      <c r="S42" s="310"/>
      <c r="T42" s="310"/>
      <c r="U42" s="310"/>
      <c r="V42" s="310"/>
      <c r="W42" s="310"/>
      <c r="X42" s="310"/>
      <c r="Y42" s="310"/>
      <c r="AF42" s="9"/>
      <c r="AG42" s="62"/>
      <c r="AW42" s="1"/>
      <c r="AX42" s="62"/>
    </row>
    <row r="43" spans="1:77" ht="30" customHeight="1" x14ac:dyDescent="0.55000000000000004">
      <c r="A43" s="209">
        <v>4</v>
      </c>
      <c r="B43" s="309" t="s">
        <v>598</v>
      </c>
      <c r="C43" s="310"/>
      <c r="D43" s="310"/>
      <c r="E43" s="310"/>
      <c r="F43" s="310"/>
      <c r="G43" s="310"/>
      <c r="H43" s="310"/>
      <c r="I43" s="310"/>
      <c r="J43" s="310"/>
      <c r="K43" s="310"/>
      <c r="L43" s="310"/>
      <c r="M43" s="310"/>
      <c r="N43" s="310"/>
      <c r="O43" s="310"/>
      <c r="P43" s="310"/>
      <c r="Q43" s="310"/>
      <c r="R43" s="310"/>
      <c r="S43" s="310"/>
      <c r="T43" s="310"/>
      <c r="U43" s="310"/>
      <c r="V43" s="310"/>
      <c r="W43" s="310"/>
      <c r="X43" s="310"/>
      <c r="Y43" s="310"/>
      <c r="AF43" s="9"/>
      <c r="AG43" s="62"/>
      <c r="AW43" s="1"/>
      <c r="AX43" s="62"/>
    </row>
    <row r="44" spans="1:77" ht="32.25" customHeight="1" x14ac:dyDescent="0.55000000000000004">
      <c r="A44" s="209">
        <v>5</v>
      </c>
      <c r="B44" s="309" t="s">
        <v>599</v>
      </c>
      <c r="C44" s="310"/>
      <c r="D44" s="310"/>
      <c r="E44" s="310"/>
      <c r="F44" s="310"/>
      <c r="G44" s="310"/>
      <c r="H44" s="310"/>
      <c r="I44" s="310"/>
      <c r="J44" s="310"/>
      <c r="K44" s="310"/>
      <c r="L44" s="310"/>
      <c r="M44" s="310"/>
      <c r="N44" s="310"/>
      <c r="O44" s="310"/>
      <c r="P44" s="310"/>
      <c r="Q44" s="310"/>
      <c r="R44" s="310"/>
      <c r="S44" s="310"/>
      <c r="T44" s="310"/>
      <c r="U44" s="310"/>
      <c r="V44" s="310"/>
      <c r="W44" s="310"/>
      <c r="X44" s="310"/>
      <c r="Y44" s="310"/>
      <c r="AF44" s="9"/>
      <c r="AG44" s="62"/>
      <c r="AW44" s="1"/>
      <c r="AX44" s="62"/>
    </row>
    <row r="45" spans="1:77" ht="15.75" customHeight="1" x14ac:dyDescent="0.55000000000000004">
      <c r="A45" s="209">
        <v>6</v>
      </c>
      <c r="B45" s="309" t="s">
        <v>600</v>
      </c>
      <c r="C45" s="310"/>
      <c r="D45" s="310"/>
      <c r="E45" s="310"/>
      <c r="F45" s="310"/>
      <c r="G45" s="310"/>
      <c r="H45" s="310"/>
      <c r="I45" s="310"/>
      <c r="J45" s="310"/>
      <c r="K45" s="310"/>
      <c r="L45" s="310"/>
      <c r="M45" s="310"/>
      <c r="N45" s="310"/>
      <c r="O45" s="310"/>
      <c r="P45" s="310"/>
      <c r="Q45" s="310"/>
      <c r="R45" s="310"/>
      <c r="S45" s="310"/>
      <c r="T45" s="310"/>
      <c r="U45" s="310"/>
      <c r="V45" s="310"/>
      <c r="W45" s="310"/>
      <c r="X45" s="310"/>
      <c r="Y45" s="310"/>
      <c r="AF45" s="9"/>
      <c r="AG45" s="62"/>
      <c r="AW45" s="1"/>
      <c r="AX45" s="62"/>
    </row>
    <row r="46" spans="1:77" ht="15.75" customHeight="1" x14ac:dyDescent="0.55000000000000004">
      <c r="A46" s="209">
        <v>7</v>
      </c>
      <c r="B46" s="309" t="s">
        <v>601</v>
      </c>
      <c r="C46" s="310"/>
      <c r="D46" s="310"/>
      <c r="E46" s="310"/>
      <c r="F46" s="310"/>
      <c r="G46" s="310"/>
      <c r="H46" s="310"/>
      <c r="I46" s="310"/>
      <c r="J46" s="310"/>
      <c r="K46" s="310"/>
      <c r="L46" s="310"/>
      <c r="M46" s="310"/>
      <c r="N46" s="310"/>
      <c r="O46" s="310"/>
      <c r="P46" s="310"/>
      <c r="Q46" s="310"/>
      <c r="R46" s="310"/>
      <c r="S46" s="310"/>
      <c r="T46" s="310"/>
      <c r="U46" s="310"/>
      <c r="V46" s="310"/>
      <c r="W46" s="310"/>
      <c r="X46" s="310"/>
      <c r="Y46" s="310"/>
      <c r="AF46" s="9"/>
      <c r="AG46" s="62"/>
      <c r="AW46" s="1"/>
      <c r="AX46" s="62"/>
    </row>
    <row r="47" spans="1:77" ht="17.399999999999999" x14ac:dyDescent="0.55000000000000004">
      <c r="A47" s="311"/>
      <c r="B47" s="312"/>
      <c r="C47" s="312"/>
      <c r="D47" s="312"/>
      <c r="E47" s="312"/>
      <c r="F47" s="312"/>
      <c r="G47" s="312"/>
      <c r="H47" s="312"/>
      <c r="I47" s="312"/>
      <c r="J47" s="312"/>
      <c r="K47" s="312"/>
      <c r="L47" s="312"/>
      <c r="M47" s="312"/>
      <c r="N47" s="312"/>
      <c r="O47" s="312"/>
      <c r="P47" s="312"/>
      <c r="Q47" s="312"/>
      <c r="R47" s="312"/>
      <c r="S47" s="312"/>
      <c r="T47" s="312"/>
      <c r="U47" s="312"/>
      <c r="V47" s="312"/>
      <c r="W47" s="312"/>
      <c r="X47" s="312"/>
      <c r="Y47" s="313"/>
      <c r="Z47" s="4"/>
      <c r="AA47" s="4"/>
      <c r="AB47" s="4"/>
      <c r="AC47" s="4"/>
      <c r="AD47" s="1"/>
      <c r="AE47" s="1"/>
      <c r="AF47" s="9"/>
      <c r="AG47" s="62" t="s">
        <v>174</v>
      </c>
      <c r="BA47">
        <v>0</v>
      </c>
      <c r="BB47" s="1"/>
      <c r="BC47" s="1"/>
      <c r="BD47" s="1"/>
      <c r="BE47" s="1"/>
      <c r="BF47" s="1"/>
      <c r="BG47" s="1"/>
      <c r="BH47" s="1"/>
      <c r="BI47" s="1"/>
      <c r="BJ47" s="1"/>
      <c r="BK47" s="1"/>
      <c r="BL47" s="1"/>
      <c r="BM47" s="1"/>
      <c r="BN47" s="1"/>
      <c r="BO47" s="1"/>
      <c r="BP47" s="1"/>
      <c r="BQ47" s="1"/>
      <c r="BR47" s="1"/>
      <c r="BS47" s="1"/>
      <c r="BT47" s="1"/>
      <c r="BU47" s="1"/>
      <c r="BV47" s="1"/>
      <c r="BW47" s="1"/>
      <c r="BX47" s="1"/>
      <c r="BY47" s="1"/>
    </row>
    <row r="48" spans="1:77" ht="17.399999999999999" x14ac:dyDescent="0.55000000000000004">
      <c r="A48" s="404" t="s">
        <v>85</v>
      </c>
      <c r="B48" s="404"/>
      <c r="C48" s="404"/>
      <c r="D48" s="404"/>
      <c r="E48" s="404"/>
      <c r="F48" s="404"/>
      <c r="G48" s="404"/>
      <c r="H48" s="404"/>
      <c r="I48" s="404"/>
      <c r="J48" s="404"/>
      <c r="K48" s="404"/>
      <c r="L48" s="404"/>
      <c r="M48" s="404"/>
      <c r="N48" s="404"/>
      <c r="O48" s="404"/>
      <c r="P48" s="404"/>
      <c r="Q48" s="404"/>
      <c r="R48" s="404"/>
      <c r="S48" s="404"/>
      <c r="T48" s="404"/>
      <c r="U48" s="404"/>
      <c r="V48" s="404"/>
      <c r="W48" s="404"/>
      <c r="X48" s="404"/>
      <c r="Y48" s="404"/>
      <c r="Z48" s="4"/>
      <c r="AA48" s="4"/>
      <c r="AB48" s="4"/>
      <c r="AC48" s="4"/>
      <c r="AD48" s="1"/>
      <c r="AE48" s="1"/>
      <c r="AF48" s="9"/>
      <c r="AG48" s="62" t="s">
        <v>175</v>
      </c>
      <c r="BA48" s="1"/>
      <c r="BB48" s="1"/>
      <c r="BC48" s="1"/>
      <c r="BD48" s="1"/>
      <c r="BE48" s="1"/>
      <c r="BF48" s="1"/>
      <c r="BG48" s="1"/>
      <c r="BH48" s="1"/>
      <c r="BI48" s="1"/>
      <c r="BJ48" s="1"/>
      <c r="BK48" s="1"/>
      <c r="BL48" s="1"/>
      <c r="BM48" s="1"/>
      <c r="BN48" s="1"/>
      <c r="BO48" s="1"/>
      <c r="BP48" s="1"/>
      <c r="BQ48" s="1"/>
      <c r="BR48" s="1"/>
      <c r="BS48" s="1"/>
      <c r="BT48" s="1"/>
      <c r="BU48" s="1"/>
      <c r="BV48" s="1"/>
      <c r="BW48" s="1"/>
      <c r="BX48" s="1"/>
      <c r="BY48" s="1"/>
    </row>
    <row r="49" spans="1:77" ht="20.399999999999999" x14ac:dyDescent="0.75">
      <c r="A49" s="518" t="s">
        <v>86</v>
      </c>
      <c r="B49" s="518"/>
      <c r="C49" s="518"/>
      <c r="D49" s="518"/>
      <c r="E49" s="518"/>
      <c r="F49" s="518"/>
      <c r="G49" s="518"/>
      <c r="H49" s="518"/>
      <c r="I49" s="518"/>
      <c r="J49" s="518"/>
      <c r="K49" s="518"/>
      <c r="L49" s="518"/>
      <c r="M49" s="518"/>
      <c r="N49" s="519"/>
      <c r="O49" s="520"/>
      <c r="P49" s="520"/>
      <c r="Q49" s="520"/>
      <c r="R49" s="520"/>
      <c r="S49" s="520"/>
      <c r="T49" s="520"/>
      <c r="U49" s="520"/>
      <c r="V49" s="520"/>
      <c r="W49" s="520"/>
      <c r="X49" s="520"/>
      <c r="Y49" s="521"/>
      <c r="Z49" s="4"/>
      <c r="AA49" s="4"/>
      <c r="AB49" s="4"/>
      <c r="AC49" s="4"/>
      <c r="AD49" s="1"/>
      <c r="AE49" s="1"/>
      <c r="AF49" s="9"/>
      <c r="AG49" s="62" t="s">
        <v>176</v>
      </c>
      <c r="BA49" s="13" t="s">
        <v>70</v>
      </c>
      <c r="BB49" s="1"/>
      <c r="BC49" s="1"/>
      <c r="BD49" s="1"/>
      <c r="BE49" s="1"/>
      <c r="BF49" s="1"/>
      <c r="BG49" s="1"/>
      <c r="BH49" s="1"/>
      <c r="BI49" s="1"/>
      <c r="BJ49" s="1"/>
      <c r="BK49" s="1"/>
      <c r="BL49" s="1"/>
      <c r="BM49" s="1"/>
      <c r="BN49" s="1"/>
      <c r="BO49" s="1"/>
      <c r="BP49" s="1"/>
      <c r="BQ49" s="1"/>
      <c r="BR49" s="1"/>
      <c r="BS49" s="1"/>
      <c r="BT49" s="1"/>
      <c r="BU49" s="1"/>
      <c r="BV49" s="1"/>
      <c r="BW49" s="1"/>
      <c r="BX49" s="1"/>
      <c r="BY49" s="1"/>
    </row>
    <row r="50" spans="1:77" ht="15.75" customHeight="1" x14ac:dyDescent="0.55000000000000004">
      <c r="A50" s="153"/>
      <c r="B50" s="347" t="s">
        <v>87</v>
      </c>
      <c r="C50" s="348"/>
      <c r="D50" s="348"/>
      <c r="E50" s="348"/>
      <c r="F50" s="348"/>
      <c r="G50" s="348"/>
      <c r="H50" s="348"/>
      <c r="I50" s="348"/>
      <c r="J50" s="348"/>
      <c r="K50" s="348"/>
      <c r="L50" s="348"/>
      <c r="M50" s="348"/>
      <c r="N50" s="348"/>
      <c r="O50" s="348"/>
      <c r="P50" s="97"/>
      <c r="Q50" s="97"/>
      <c r="R50" s="97"/>
      <c r="S50" s="97"/>
      <c r="T50" s="97"/>
      <c r="U50" s="97"/>
      <c r="V50" s="97"/>
      <c r="W50" s="97"/>
      <c r="X50" s="97"/>
      <c r="Y50" s="98"/>
      <c r="Z50" s="4"/>
      <c r="AA50" s="4"/>
      <c r="AB50" s="4"/>
      <c r="AC50" s="4"/>
      <c r="AD50" s="1"/>
      <c r="AF50" s="10">
        <v>6</v>
      </c>
      <c r="AG50" s="61" t="s">
        <v>257</v>
      </c>
      <c r="BA50" s="1"/>
      <c r="BB50" s="1"/>
      <c r="BC50" s="1"/>
      <c r="BD50" s="1"/>
      <c r="BE50" s="1"/>
      <c r="BF50" s="1"/>
      <c r="BG50" s="1"/>
      <c r="BH50" s="1"/>
      <c r="BI50" s="1"/>
      <c r="BJ50" s="1"/>
      <c r="BK50" s="1"/>
      <c r="BL50" s="1"/>
      <c r="BM50" s="1"/>
      <c r="BN50" s="1"/>
      <c r="BO50" s="1"/>
      <c r="BP50" s="1"/>
      <c r="BQ50" s="1"/>
      <c r="BR50" s="1"/>
      <c r="BS50" s="1"/>
      <c r="BT50" s="1"/>
      <c r="BU50" s="1"/>
      <c r="BV50" s="1"/>
      <c r="BW50" s="1"/>
      <c r="BX50" s="1"/>
      <c r="BY50" s="1"/>
    </row>
    <row r="51" spans="1:77" ht="16.75" customHeight="1" x14ac:dyDescent="0.55000000000000004">
      <c r="A51" s="54"/>
      <c r="B51" s="45"/>
      <c r="C51" s="497" t="s">
        <v>284</v>
      </c>
      <c r="D51" s="497"/>
      <c r="E51" s="497"/>
      <c r="F51" s="497"/>
      <c r="G51" s="497"/>
      <c r="H51" s="497"/>
      <c r="I51" s="497"/>
      <c r="J51" s="497"/>
      <c r="K51" s="497"/>
      <c r="L51" s="497"/>
      <c r="M51" s="497"/>
      <c r="N51" s="497"/>
      <c r="O51" s="497"/>
      <c r="P51" s="524" t="s">
        <v>50</v>
      </c>
      <c r="Q51" s="525"/>
      <c r="R51" s="525"/>
      <c r="S51" s="525"/>
      <c r="T51" s="525"/>
      <c r="U51" s="525"/>
      <c r="V51" s="525"/>
      <c r="W51" s="526"/>
      <c r="X51" s="522" t="s">
        <v>49</v>
      </c>
      <c r="Y51" s="523"/>
      <c r="Z51" s="5"/>
      <c r="AA51" s="4"/>
      <c r="AB51" s="4"/>
      <c r="AC51" s="4"/>
      <c r="AD51" s="1"/>
      <c r="AF51" s="9"/>
      <c r="AG51" s="62" t="s">
        <v>177</v>
      </c>
      <c r="BB51" s="1"/>
      <c r="BC51" s="1"/>
      <c r="BD51" s="1"/>
      <c r="BE51" s="1"/>
      <c r="BF51" s="1"/>
      <c r="BG51" s="1"/>
      <c r="BH51" s="1"/>
      <c r="BI51" s="1"/>
      <c r="BJ51" s="1"/>
      <c r="BK51" s="1"/>
      <c r="BL51" s="1"/>
      <c r="BM51" s="1"/>
      <c r="BN51" s="1"/>
      <c r="BO51" s="1"/>
      <c r="BP51" s="1"/>
      <c r="BQ51" s="1"/>
      <c r="BR51" s="1"/>
      <c r="BS51" s="1"/>
      <c r="BT51" s="1"/>
      <c r="BU51" s="1"/>
      <c r="BV51" s="1"/>
      <c r="BW51" s="1"/>
      <c r="BX51" s="1"/>
      <c r="BY51" s="1"/>
    </row>
    <row r="52" spans="1:77" ht="16.75" customHeight="1" x14ac:dyDescent="0.55000000000000004">
      <c r="A52" s="54"/>
      <c r="B52" s="45"/>
      <c r="C52" s="476" t="s">
        <v>285</v>
      </c>
      <c r="D52" s="476"/>
      <c r="E52" s="476"/>
      <c r="F52" s="476"/>
      <c r="G52" s="476"/>
      <c r="H52" s="476"/>
      <c r="I52" s="476"/>
      <c r="J52" s="476"/>
      <c r="K52" s="476"/>
      <c r="L52" s="476"/>
      <c r="M52" s="476"/>
      <c r="N52" s="476"/>
      <c r="O52" s="477"/>
      <c r="P52" s="64"/>
      <c r="Q52" s="72"/>
      <c r="R52" s="72"/>
      <c r="S52" s="72"/>
      <c r="T52" s="72"/>
      <c r="U52" s="72"/>
      <c r="V52" s="72"/>
      <c r="W52" s="72"/>
      <c r="X52" s="64"/>
      <c r="Y52" s="73"/>
      <c r="Z52" s="77"/>
      <c r="AA52" s="77"/>
      <c r="AB52" s="4"/>
      <c r="AC52" s="4"/>
      <c r="AD52" s="1"/>
      <c r="AF52" s="9"/>
      <c r="AG52" s="62"/>
      <c r="BB52" s="1"/>
      <c r="BC52" s="1"/>
      <c r="BD52" s="1"/>
      <c r="BE52" s="1"/>
      <c r="BF52" s="1"/>
      <c r="BG52" s="1"/>
      <c r="BH52" s="1"/>
      <c r="BI52" s="1"/>
      <c r="BJ52" s="1"/>
      <c r="BK52" s="1"/>
      <c r="BL52" s="1"/>
      <c r="BM52" s="1"/>
      <c r="BN52" s="1"/>
      <c r="BO52" s="1"/>
      <c r="BP52" s="1"/>
      <c r="BQ52" s="1"/>
      <c r="BR52" s="1"/>
      <c r="BS52" s="1"/>
      <c r="BT52" s="1"/>
      <c r="BU52" s="1"/>
      <c r="BV52" s="1"/>
      <c r="BW52" s="1"/>
      <c r="BX52" s="1"/>
      <c r="BY52" s="1"/>
    </row>
    <row r="53" spans="1:77" ht="15.75" customHeight="1" x14ac:dyDescent="0.7">
      <c r="A53" s="54"/>
      <c r="B53" s="45"/>
      <c r="C53" s="476"/>
      <c r="D53" s="476"/>
      <c r="E53" s="476"/>
      <c r="F53" s="476"/>
      <c r="G53" s="476"/>
      <c r="H53" s="476"/>
      <c r="I53" s="476"/>
      <c r="J53" s="476"/>
      <c r="K53" s="476"/>
      <c r="L53" s="476"/>
      <c r="M53" s="476"/>
      <c r="N53" s="476"/>
      <c r="O53" s="477"/>
      <c r="P53" s="79" t="s">
        <v>280</v>
      </c>
      <c r="Q53" s="441" t="s">
        <v>273</v>
      </c>
      <c r="R53" s="441"/>
      <c r="S53" s="441"/>
      <c r="T53" s="441"/>
      <c r="U53" s="441"/>
      <c r="V53" s="441"/>
      <c r="W53" s="442"/>
      <c r="X53" s="314">
        <v>1</v>
      </c>
      <c r="Y53" s="498"/>
      <c r="Z53" s="78"/>
      <c r="AA53" s="78"/>
      <c r="AB53" s="4"/>
      <c r="AC53" s="4"/>
      <c r="AD53" s="1"/>
      <c r="AF53" s="9"/>
      <c r="AG53" s="62"/>
      <c r="BB53" s="1"/>
      <c r="BC53" s="1"/>
      <c r="BD53" s="1"/>
      <c r="BE53" s="1"/>
      <c r="BF53" s="1"/>
      <c r="BG53" s="1"/>
      <c r="BH53" s="1"/>
      <c r="BI53" s="1"/>
      <c r="BJ53" s="1"/>
      <c r="BK53" s="1"/>
      <c r="BL53" s="1"/>
      <c r="BM53" s="1"/>
      <c r="BN53" s="1"/>
      <c r="BO53" s="1"/>
      <c r="BP53" s="1"/>
      <c r="BQ53" s="1"/>
      <c r="BR53" s="1"/>
      <c r="BS53" s="1"/>
      <c r="BT53" s="1"/>
      <c r="BU53" s="1"/>
      <c r="BV53" s="1"/>
      <c r="BW53" s="1"/>
      <c r="BX53" s="1"/>
      <c r="BY53" s="1"/>
    </row>
    <row r="54" spans="1:77" ht="15.75" customHeight="1" x14ac:dyDescent="0.7">
      <c r="A54" s="54"/>
      <c r="B54" s="45"/>
      <c r="C54" s="476"/>
      <c r="D54" s="476"/>
      <c r="E54" s="476"/>
      <c r="F54" s="476"/>
      <c r="G54" s="476"/>
      <c r="H54" s="476"/>
      <c r="I54" s="476"/>
      <c r="J54" s="476"/>
      <c r="K54" s="476"/>
      <c r="L54" s="476"/>
      <c r="M54" s="476"/>
      <c r="N54" s="476"/>
      <c r="O54" s="477"/>
      <c r="P54" s="81"/>
      <c r="Q54" s="78"/>
      <c r="R54" s="78"/>
      <c r="S54" s="78"/>
      <c r="T54" s="78"/>
      <c r="U54" s="78"/>
      <c r="V54" s="78"/>
      <c r="W54" s="78"/>
      <c r="X54" s="86"/>
      <c r="Y54" s="80"/>
      <c r="Z54" s="74"/>
      <c r="AA54" s="74"/>
      <c r="AB54" s="4"/>
      <c r="AC54" s="4"/>
      <c r="AD54" s="1"/>
      <c r="AF54" s="9"/>
      <c r="AG54" s="62"/>
      <c r="BB54" s="1"/>
      <c r="BC54" s="1"/>
      <c r="BD54" s="1"/>
      <c r="BE54" s="1"/>
      <c r="BF54" s="1"/>
      <c r="BG54" s="1"/>
      <c r="BH54" s="1"/>
      <c r="BI54" s="1"/>
      <c r="BJ54" s="1"/>
      <c r="BK54" s="1"/>
      <c r="BL54" s="1"/>
      <c r="BM54" s="1"/>
      <c r="BN54" s="1"/>
      <c r="BO54" s="1"/>
      <c r="BP54" s="1"/>
      <c r="BQ54" s="1"/>
      <c r="BR54" s="1"/>
      <c r="BS54" s="1"/>
      <c r="BT54" s="1"/>
      <c r="BU54" s="1"/>
      <c r="BV54" s="1"/>
      <c r="BW54" s="1"/>
      <c r="BX54" s="1"/>
      <c r="BY54" s="1"/>
    </row>
    <row r="55" spans="1:77" ht="16.75" customHeight="1" x14ac:dyDescent="0.7">
      <c r="A55" s="54"/>
      <c r="B55" s="45"/>
      <c r="C55" s="578" t="s">
        <v>286</v>
      </c>
      <c r="D55" s="578"/>
      <c r="E55" s="578"/>
      <c r="F55" s="578"/>
      <c r="G55" s="578"/>
      <c r="H55" s="578"/>
      <c r="I55" s="578"/>
      <c r="J55" s="578"/>
      <c r="K55" s="578"/>
      <c r="L55" s="578"/>
      <c r="M55" s="578"/>
      <c r="N55" s="578"/>
      <c r="O55" s="579"/>
      <c r="P55" s="75" t="s">
        <v>281</v>
      </c>
      <c r="Q55" s="441" t="s">
        <v>292</v>
      </c>
      <c r="R55" s="441"/>
      <c r="S55" s="441"/>
      <c r="T55" s="441"/>
      <c r="U55" s="441"/>
      <c r="V55" s="441"/>
      <c r="W55" s="442"/>
      <c r="X55" s="501">
        <v>0.5</v>
      </c>
      <c r="Y55" s="502"/>
      <c r="Z55" s="78"/>
      <c r="AA55" s="78"/>
      <c r="AB55" s="4"/>
      <c r="AC55" s="4"/>
      <c r="AD55" s="1"/>
      <c r="AF55" s="9"/>
      <c r="AG55" s="62"/>
      <c r="BB55" s="1"/>
      <c r="BC55" s="1"/>
      <c r="BD55" s="1"/>
      <c r="BE55" s="1"/>
      <c r="BF55" s="1"/>
      <c r="BG55" s="1"/>
      <c r="BH55" s="1"/>
      <c r="BI55" s="1"/>
      <c r="BJ55" s="1"/>
      <c r="BK55" s="1"/>
      <c r="BL55" s="1"/>
      <c r="BM55" s="1"/>
      <c r="BN55" s="1"/>
      <c r="BO55" s="1"/>
      <c r="BP55" s="1"/>
      <c r="BQ55" s="1"/>
      <c r="BR55" s="1"/>
      <c r="BS55" s="1"/>
      <c r="BT55" s="1"/>
      <c r="BU55" s="1"/>
      <c r="BV55" s="1"/>
      <c r="BW55" s="1"/>
      <c r="BX55" s="1"/>
      <c r="BY55" s="1"/>
    </row>
    <row r="56" spans="1:77" ht="16.75" customHeight="1" x14ac:dyDescent="0.7">
      <c r="A56" s="54"/>
      <c r="B56" s="45"/>
      <c r="C56" s="476" t="s">
        <v>287</v>
      </c>
      <c r="D56" s="476"/>
      <c r="E56" s="476"/>
      <c r="F56" s="476"/>
      <c r="G56" s="476"/>
      <c r="H56" s="476"/>
      <c r="I56" s="476"/>
      <c r="J56" s="476"/>
      <c r="K56" s="476"/>
      <c r="L56" s="476"/>
      <c r="M56" s="476"/>
      <c r="N56" s="476"/>
      <c r="O56" s="477"/>
      <c r="P56" s="81"/>
      <c r="Q56" s="78"/>
      <c r="R56" s="78"/>
      <c r="S56" s="78"/>
      <c r="T56" s="78"/>
      <c r="U56" s="78"/>
      <c r="V56" s="78"/>
      <c r="W56" s="78"/>
      <c r="X56" s="86"/>
      <c r="Y56" s="80"/>
      <c r="Z56" s="74"/>
      <c r="AA56" s="74"/>
      <c r="AB56" s="4"/>
      <c r="AC56" s="4"/>
      <c r="AD56" s="1"/>
      <c r="AF56" s="9"/>
      <c r="AG56" s="62"/>
      <c r="BB56" s="1"/>
      <c r="BC56" s="1"/>
      <c r="BD56" s="1"/>
      <c r="BE56" s="1"/>
      <c r="BF56" s="1"/>
      <c r="BG56" s="1"/>
      <c r="BH56" s="1"/>
      <c r="BI56" s="1"/>
      <c r="BJ56" s="1"/>
      <c r="BK56" s="1"/>
      <c r="BL56" s="1"/>
      <c r="BM56" s="1"/>
      <c r="BN56" s="1"/>
      <c r="BO56" s="1"/>
      <c r="BP56" s="1"/>
      <c r="BQ56" s="1"/>
      <c r="BR56" s="1"/>
      <c r="BS56" s="1"/>
      <c r="BT56" s="1"/>
      <c r="BU56" s="1"/>
      <c r="BV56" s="1"/>
      <c r="BW56" s="1"/>
      <c r="BX56" s="1"/>
      <c r="BY56" s="1"/>
    </row>
    <row r="57" spans="1:77" ht="16.75" customHeight="1" x14ac:dyDescent="0.55000000000000004">
      <c r="A57" s="54"/>
      <c r="B57" s="45"/>
      <c r="C57" s="476"/>
      <c r="D57" s="476"/>
      <c r="E57" s="476"/>
      <c r="F57" s="476"/>
      <c r="G57" s="476"/>
      <c r="H57" s="476"/>
      <c r="I57" s="476"/>
      <c r="J57" s="476"/>
      <c r="K57" s="476"/>
      <c r="L57" s="476"/>
      <c r="M57" s="476"/>
      <c r="N57" s="476"/>
      <c r="O57" s="477"/>
      <c r="P57" s="82" t="s">
        <v>282</v>
      </c>
      <c r="Q57" s="441" t="s">
        <v>289</v>
      </c>
      <c r="R57" s="441"/>
      <c r="S57" s="441"/>
      <c r="T57" s="441"/>
      <c r="U57" s="441"/>
      <c r="V57" s="441"/>
      <c r="W57" s="441"/>
      <c r="X57" s="314">
        <v>0</v>
      </c>
      <c r="Y57" s="498"/>
      <c r="Z57" s="5"/>
      <c r="AA57" s="4"/>
      <c r="AB57" s="4"/>
      <c r="AC57" s="4"/>
      <c r="AD57" s="1"/>
      <c r="AF57" s="9"/>
      <c r="AG57" s="62"/>
      <c r="BB57" s="1"/>
      <c r="BC57" s="1"/>
      <c r="BD57" s="1"/>
      <c r="BE57" s="1"/>
      <c r="BF57" s="1"/>
      <c r="BG57" s="1"/>
      <c r="BH57" s="1"/>
      <c r="BI57" s="1"/>
      <c r="BJ57" s="1"/>
      <c r="BK57" s="1"/>
      <c r="BL57" s="1"/>
      <c r="BM57" s="1"/>
      <c r="BN57" s="1"/>
      <c r="BO57" s="1"/>
      <c r="BP57" s="1"/>
      <c r="BQ57" s="1"/>
      <c r="BR57" s="1"/>
      <c r="BS57" s="1"/>
      <c r="BT57" s="1"/>
      <c r="BU57" s="1"/>
      <c r="BV57" s="1"/>
      <c r="BW57" s="1"/>
      <c r="BX57" s="1"/>
      <c r="BY57" s="1"/>
    </row>
    <row r="58" spans="1:77" ht="15.3" x14ac:dyDescent="0.55000000000000004">
      <c r="A58" s="54"/>
      <c r="B58" s="45"/>
      <c r="C58" s="476" t="s">
        <v>288</v>
      </c>
      <c r="D58" s="476"/>
      <c r="E58" s="476"/>
      <c r="F58" s="476"/>
      <c r="G58" s="476"/>
      <c r="H58" s="476"/>
      <c r="I58" s="476"/>
      <c r="J58" s="476"/>
      <c r="K58" s="476"/>
      <c r="L58" s="476"/>
      <c r="M58" s="476"/>
      <c r="N58" s="476"/>
      <c r="O58" s="477"/>
      <c r="P58" s="66"/>
      <c r="X58" s="66"/>
      <c r="Y58" s="115"/>
      <c r="Z58" s="6"/>
      <c r="AA58" s="4"/>
      <c r="AB58" s="4"/>
      <c r="AC58" s="4"/>
      <c r="AD58" s="1"/>
      <c r="AF58" s="9"/>
      <c r="AG58" s="62" t="s">
        <v>178</v>
      </c>
      <c r="BB58" s="1"/>
      <c r="BC58" s="1"/>
      <c r="BD58" s="1"/>
      <c r="BE58" s="1"/>
      <c r="BF58" s="1"/>
      <c r="BG58" s="1"/>
      <c r="BH58" s="1"/>
      <c r="BI58" s="1"/>
      <c r="BJ58" s="1"/>
      <c r="BK58" s="1"/>
      <c r="BL58" s="1"/>
      <c r="BM58" s="1"/>
      <c r="BN58" s="1"/>
      <c r="BO58" s="1"/>
      <c r="BP58" s="1"/>
      <c r="BQ58" s="1"/>
      <c r="BR58" s="1"/>
      <c r="BS58" s="1"/>
      <c r="BT58" s="1"/>
      <c r="BU58" s="1"/>
      <c r="BV58" s="1"/>
      <c r="BW58" s="1"/>
      <c r="BX58" s="1"/>
      <c r="BY58" s="1"/>
    </row>
    <row r="59" spans="1:77" ht="15.3" x14ac:dyDescent="0.55000000000000004">
      <c r="A59" s="54"/>
      <c r="B59" s="45"/>
      <c r="C59" s="476"/>
      <c r="D59" s="476"/>
      <c r="E59" s="476"/>
      <c r="F59" s="476"/>
      <c r="G59" s="476"/>
      <c r="H59" s="476"/>
      <c r="I59" s="476"/>
      <c r="J59" s="476"/>
      <c r="K59" s="476"/>
      <c r="L59" s="476"/>
      <c r="M59" s="476"/>
      <c r="N59" s="476"/>
      <c r="O59" s="477"/>
      <c r="P59" s="83"/>
      <c r="Q59" s="84"/>
      <c r="R59" s="84"/>
      <c r="S59" s="84"/>
      <c r="T59" s="84"/>
      <c r="U59" s="84"/>
      <c r="V59" s="84"/>
      <c r="W59" s="84"/>
      <c r="X59" s="83"/>
      <c r="Y59" s="85"/>
      <c r="Z59" s="6"/>
      <c r="AA59" s="4"/>
      <c r="AB59" s="4"/>
      <c r="AC59" s="4"/>
      <c r="AD59" s="1"/>
      <c r="AF59" s="9"/>
      <c r="AG59" s="62"/>
      <c r="BB59" s="1"/>
      <c r="BC59" s="1"/>
      <c r="BD59" s="1"/>
      <c r="BE59" s="1"/>
      <c r="BF59" s="1"/>
      <c r="BG59" s="1"/>
      <c r="BH59" s="1"/>
      <c r="BI59" s="1"/>
      <c r="BJ59" s="1"/>
      <c r="BK59" s="1"/>
      <c r="BL59" s="1"/>
      <c r="BM59" s="1"/>
      <c r="BN59" s="1"/>
      <c r="BO59" s="1"/>
      <c r="BP59" s="1"/>
      <c r="BQ59" s="1"/>
      <c r="BR59" s="1"/>
      <c r="BS59" s="1"/>
      <c r="BT59" s="1"/>
      <c r="BU59" s="1"/>
      <c r="BV59" s="1"/>
      <c r="BW59" s="1"/>
      <c r="BX59" s="1"/>
      <c r="BY59" s="1"/>
    </row>
    <row r="60" spans="1:77" ht="18.75" customHeight="1" x14ac:dyDescent="0.55000000000000004">
      <c r="A60" s="54"/>
      <c r="B60" s="45"/>
      <c r="C60" s="580" t="s">
        <v>290</v>
      </c>
      <c r="D60" s="580"/>
      <c r="E60" s="580"/>
      <c r="F60" s="580"/>
      <c r="G60" s="580"/>
      <c r="H60" s="580"/>
      <c r="I60" s="580"/>
      <c r="J60" s="580"/>
      <c r="K60" s="580"/>
      <c r="L60" s="580"/>
      <c r="M60" s="580"/>
      <c r="N60" s="580"/>
      <c r="O60" s="580"/>
      <c r="P60" s="496" t="s">
        <v>50</v>
      </c>
      <c r="Q60" s="496"/>
      <c r="R60" s="496"/>
      <c r="S60" s="496"/>
      <c r="T60" s="496"/>
      <c r="U60" s="496"/>
      <c r="V60" s="496"/>
      <c r="W60" s="496"/>
      <c r="X60" s="496" t="s">
        <v>49</v>
      </c>
      <c r="Y60" s="496"/>
      <c r="Z60" s="6"/>
      <c r="AA60" s="4"/>
      <c r="AB60" s="4"/>
      <c r="AC60" s="4"/>
      <c r="AD60" s="1"/>
      <c r="AF60" s="9"/>
      <c r="AG60" s="62"/>
      <c r="BB60" s="1"/>
      <c r="BC60" s="1"/>
      <c r="BD60" s="1"/>
      <c r="BE60" s="1"/>
      <c r="BF60" s="1"/>
      <c r="BG60" s="1"/>
      <c r="BH60" s="1"/>
      <c r="BI60" s="1"/>
      <c r="BJ60" s="1"/>
      <c r="BK60" s="1"/>
      <c r="BL60" s="1"/>
      <c r="BM60" s="1"/>
      <c r="BN60" s="1"/>
      <c r="BO60" s="1"/>
      <c r="BP60" s="1"/>
      <c r="BQ60" s="1"/>
      <c r="BR60" s="1"/>
      <c r="BS60" s="1"/>
      <c r="BT60" s="1"/>
      <c r="BU60" s="1"/>
      <c r="BV60" s="1"/>
      <c r="BW60" s="1"/>
      <c r="BX60" s="1"/>
      <c r="BY60" s="1"/>
    </row>
    <row r="61" spans="1:77" ht="15.75" customHeight="1" x14ac:dyDescent="0.55000000000000004">
      <c r="A61" s="54"/>
      <c r="B61" s="45"/>
      <c r="C61" s="310" t="s">
        <v>279</v>
      </c>
      <c r="D61" s="310"/>
      <c r="E61" s="310"/>
      <c r="F61" s="310"/>
      <c r="G61" s="310"/>
      <c r="H61" s="310"/>
      <c r="I61" s="310"/>
      <c r="J61" s="310"/>
      <c r="K61" s="310"/>
      <c r="L61" s="310"/>
      <c r="M61" s="310"/>
      <c r="N61" s="310"/>
      <c r="O61" s="310"/>
      <c r="P61" s="88" t="s">
        <v>280</v>
      </c>
      <c r="Q61" s="474" t="s">
        <v>273</v>
      </c>
      <c r="R61" s="474"/>
      <c r="S61" s="474"/>
      <c r="T61" s="474"/>
      <c r="U61" s="474"/>
      <c r="V61" s="474"/>
      <c r="W61" s="475"/>
      <c r="X61" s="499">
        <v>1</v>
      </c>
      <c r="Y61" s="500"/>
      <c r="Z61" s="6"/>
      <c r="AA61" s="4"/>
      <c r="AB61" s="4"/>
      <c r="AC61" s="4"/>
      <c r="AD61" s="1"/>
      <c r="AF61" s="9"/>
      <c r="AG61" s="62"/>
      <c r="BB61" s="1"/>
      <c r="BC61" s="1"/>
      <c r="BD61" s="1"/>
      <c r="BE61" s="1"/>
      <c r="BF61" s="1"/>
      <c r="BG61" s="1"/>
      <c r="BH61" s="1"/>
      <c r="BI61" s="1"/>
      <c r="BJ61" s="1"/>
      <c r="BK61" s="1"/>
      <c r="BL61" s="1"/>
      <c r="BM61" s="1"/>
      <c r="BN61" s="1"/>
      <c r="BO61" s="1"/>
      <c r="BP61" s="1"/>
      <c r="BQ61" s="1"/>
      <c r="BR61" s="1"/>
      <c r="BS61" s="1"/>
      <c r="BT61" s="1"/>
      <c r="BU61" s="1"/>
      <c r="BV61" s="1"/>
      <c r="BW61" s="1"/>
      <c r="BX61" s="1"/>
      <c r="BY61" s="1"/>
    </row>
    <row r="62" spans="1:77" ht="15.75" customHeight="1" x14ac:dyDescent="0.55000000000000004">
      <c r="A62" s="54"/>
      <c r="B62" s="45"/>
      <c r="C62" s="310"/>
      <c r="D62" s="310"/>
      <c r="E62" s="310"/>
      <c r="F62" s="310"/>
      <c r="G62" s="310"/>
      <c r="H62" s="310"/>
      <c r="I62" s="310"/>
      <c r="J62" s="310"/>
      <c r="K62" s="310"/>
      <c r="L62" s="310"/>
      <c r="M62" s="310"/>
      <c r="N62" s="310"/>
      <c r="O62" s="310"/>
      <c r="P62" s="87" t="s">
        <v>281</v>
      </c>
      <c r="Q62" s="441" t="s">
        <v>292</v>
      </c>
      <c r="R62" s="441"/>
      <c r="S62" s="441"/>
      <c r="T62" s="441"/>
      <c r="U62" s="441"/>
      <c r="V62" s="441"/>
      <c r="W62" s="442"/>
      <c r="X62" s="501">
        <v>0.5</v>
      </c>
      <c r="Y62" s="502"/>
      <c r="Z62" s="6"/>
      <c r="AA62" s="4"/>
      <c r="AB62" s="4"/>
      <c r="AC62" s="4"/>
      <c r="AD62" s="1"/>
      <c r="AF62" s="9"/>
      <c r="AG62" s="62"/>
      <c r="BB62" s="1"/>
      <c r="BC62" s="1"/>
      <c r="BD62" s="1"/>
      <c r="BE62" s="1"/>
      <c r="BF62" s="1"/>
      <c r="BG62" s="1"/>
      <c r="BH62" s="1"/>
      <c r="BI62" s="1"/>
      <c r="BJ62" s="1"/>
      <c r="BK62" s="1"/>
      <c r="BL62" s="1"/>
      <c r="BM62" s="1"/>
      <c r="BN62" s="1"/>
      <c r="BO62" s="1"/>
      <c r="BP62" s="1"/>
      <c r="BQ62" s="1"/>
      <c r="BR62" s="1"/>
      <c r="BS62" s="1"/>
      <c r="BT62" s="1"/>
      <c r="BU62" s="1"/>
      <c r="BV62" s="1"/>
      <c r="BW62" s="1"/>
      <c r="BX62" s="1"/>
      <c r="BY62" s="1"/>
    </row>
    <row r="63" spans="1:77" ht="15.75" customHeight="1" x14ac:dyDescent="0.55000000000000004">
      <c r="A63" s="54"/>
      <c r="B63" s="45"/>
      <c r="C63" s="323" t="s">
        <v>291</v>
      </c>
      <c r="D63" s="324"/>
      <c r="E63" s="324"/>
      <c r="F63" s="324"/>
      <c r="G63" s="324"/>
      <c r="H63" s="324"/>
      <c r="I63" s="324"/>
      <c r="J63" s="324"/>
      <c r="K63" s="324"/>
      <c r="L63" s="324"/>
      <c r="M63" s="324"/>
      <c r="N63" s="324"/>
      <c r="O63" s="384"/>
      <c r="P63" s="82" t="s">
        <v>282</v>
      </c>
      <c r="Q63" s="441" t="s">
        <v>274</v>
      </c>
      <c r="R63" s="441"/>
      <c r="S63" s="441"/>
      <c r="T63" s="441"/>
      <c r="U63" s="441"/>
      <c r="V63" s="441"/>
      <c r="W63" s="441"/>
      <c r="X63" s="314">
        <v>0</v>
      </c>
      <c r="Y63" s="498"/>
      <c r="Z63" s="94"/>
      <c r="AA63" s="4"/>
      <c r="AB63" s="4"/>
      <c r="AC63" s="4"/>
      <c r="AD63" s="1"/>
      <c r="AF63" s="9"/>
      <c r="AG63" s="62"/>
      <c r="BB63" s="1"/>
      <c r="BC63" s="1"/>
      <c r="BD63" s="1"/>
      <c r="BE63" s="1"/>
      <c r="BF63" s="1"/>
      <c r="BG63" s="1"/>
      <c r="BH63" s="1"/>
      <c r="BI63" s="1"/>
      <c r="BJ63" s="1"/>
      <c r="BK63" s="1"/>
      <c r="BL63" s="1"/>
      <c r="BM63" s="1"/>
      <c r="BN63" s="1"/>
      <c r="BO63" s="1"/>
      <c r="BP63" s="1"/>
      <c r="BQ63" s="1"/>
      <c r="BR63" s="1"/>
      <c r="BS63" s="1"/>
      <c r="BT63" s="1"/>
      <c r="BU63" s="1"/>
      <c r="BV63" s="1"/>
      <c r="BW63" s="1"/>
      <c r="BX63" s="1"/>
      <c r="BY63" s="1"/>
    </row>
    <row r="64" spans="1:77" ht="15.75" customHeight="1" x14ac:dyDescent="0.7">
      <c r="A64" s="54"/>
      <c r="B64" s="45"/>
      <c r="C64" s="327"/>
      <c r="D64" s="328"/>
      <c r="E64" s="328"/>
      <c r="F64" s="328"/>
      <c r="G64" s="328"/>
      <c r="H64" s="328"/>
      <c r="I64" s="328"/>
      <c r="J64" s="328"/>
      <c r="K64" s="328"/>
      <c r="L64" s="328"/>
      <c r="M64" s="328"/>
      <c r="N64" s="328"/>
      <c r="O64" s="342"/>
      <c r="P64" s="90"/>
      <c r="Q64" s="91"/>
      <c r="R64" s="91"/>
      <c r="S64" s="91"/>
      <c r="T64" s="91"/>
      <c r="U64" s="91"/>
      <c r="V64" s="91"/>
      <c r="W64" s="91"/>
      <c r="X64" s="92"/>
      <c r="Y64" s="93"/>
      <c r="Z64" s="6"/>
      <c r="AA64" s="4"/>
      <c r="AB64" s="4"/>
      <c r="AC64" s="4"/>
      <c r="AD64" s="1"/>
      <c r="AF64" s="9"/>
      <c r="AG64" s="62"/>
      <c r="BB64" s="1"/>
      <c r="BC64" s="1"/>
      <c r="BD64" s="1"/>
      <c r="BE64" s="1"/>
      <c r="BF64" s="1"/>
      <c r="BG64" s="1"/>
      <c r="BH64" s="1"/>
      <c r="BI64" s="1"/>
      <c r="BJ64" s="1"/>
      <c r="BK64" s="1"/>
      <c r="BL64" s="1"/>
      <c r="BM64" s="1"/>
      <c r="BN64" s="1"/>
      <c r="BO64" s="1"/>
      <c r="BP64" s="1"/>
      <c r="BQ64" s="1"/>
      <c r="BR64" s="1"/>
      <c r="BS64" s="1"/>
      <c r="BT64" s="1"/>
      <c r="BU64" s="1"/>
      <c r="BV64" s="1"/>
      <c r="BW64" s="1"/>
      <c r="BX64" s="1"/>
      <c r="BY64" s="1"/>
    </row>
    <row r="65" spans="1:77" ht="17.399999999999999" x14ac:dyDescent="0.55000000000000004">
      <c r="A65" s="54"/>
      <c r="B65" s="45"/>
      <c r="C65" s="581" t="s">
        <v>293</v>
      </c>
      <c r="D65" s="582"/>
      <c r="E65" s="582"/>
      <c r="F65" s="582"/>
      <c r="G65" s="582"/>
      <c r="H65" s="582"/>
      <c r="I65" s="582"/>
      <c r="J65" s="582"/>
      <c r="K65" s="582"/>
      <c r="L65" s="582"/>
      <c r="M65" s="582"/>
      <c r="N65" s="582"/>
      <c r="O65" s="583"/>
      <c r="P65" s="522" t="s">
        <v>50</v>
      </c>
      <c r="Q65" s="584"/>
      <c r="R65" s="584"/>
      <c r="S65" s="584"/>
      <c r="T65" s="584"/>
      <c r="U65" s="584"/>
      <c r="V65" s="584"/>
      <c r="W65" s="523"/>
      <c r="X65" s="522" t="s">
        <v>49</v>
      </c>
      <c r="Y65" s="523"/>
      <c r="Z65" s="6"/>
      <c r="AA65" s="4"/>
      <c r="AB65" s="4"/>
      <c r="AC65" s="4"/>
      <c r="AD65" s="1"/>
      <c r="AF65" s="9"/>
      <c r="AG65" s="62"/>
      <c r="BB65" s="1"/>
      <c r="BC65" s="1"/>
      <c r="BD65" s="1"/>
      <c r="BE65" s="1"/>
      <c r="BF65" s="1"/>
      <c r="BG65" s="1"/>
      <c r="BH65" s="1"/>
      <c r="BI65" s="1"/>
      <c r="BJ65" s="1"/>
      <c r="BK65" s="1"/>
      <c r="BL65" s="1"/>
      <c r="BM65" s="1"/>
      <c r="BN65" s="1"/>
      <c r="BO65" s="1"/>
      <c r="BP65" s="1"/>
      <c r="BQ65" s="1"/>
      <c r="BR65" s="1"/>
      <c r="BS65" s="1"/>
      <c r="BT65" s="1"/>
      <c r="BU65" s="1"/>
      <c r="BV65" s="1"/>
      <c r="BW65" s="1"/>
      <c r="BX65" s="1"/>
      <c r="BY65" s="1"/>
    </row>
    <row r="66" spans="1:77" ht="17.399999999999999" x14ac:dyDescent="0.55000000000000004">
      <c r="A66" s="54"/>
      <c r="B66" s="45"/>
      <c r="C66" s="483" t="s">
        <v>294</v>
      </c>
      <c r="D66" s="483"/>
      <c r="E66" s="483"/>
      <c r="F66" s="483"/>
      <c r="G66" s="483"/>
      <c r="H66" s="483"/>
      <c r="I66" s="483"/>
      <c r="J66" s="483"/>
      <c r="K66" s="483"/>
      <c r="L66" s="483"/>
      <c r="M66" s="483"/>
      <c r="N66" s="483"/>
      <c r="O66" s="556"/>
      <c r="P66" s="88" t="s">
        <v>280</v>
      </c>
      <c r="Q66" s="474" t="s">
        <v>273</v>
      </c>
      <c r="R66" s="474"/>
      <c r="S66" s="474"/>
      <c r="T66" s="474"/>
      <c r="U66" s="474"/>
      <c r="V66" s="474"/>
      <c r="W66" s="475"/>
      <c r="X66" s="343">
        <v>1</v>
      </c>
      <c r="Y66" s="330"/>
      <c r="Z66" s="6"/>
      <c r="AA66" s="4"/>
      <c r="AB66" s="4"/>
      <c r="AC66" s="4"/>
      <c r="AD66" s="1"/>
      <c r="AF66" s="9"/>
      <c r="AG66" s="62"/>
      <c r="BB66" s="1"/>
      <c r="BC66" s="1"/>
      <c r="BD66" s="1"/>
      <c r="BE66" s="1"/>
      <c r="BF66" s="1"/>
      <c r="BG66" s="1"/>
      <c r="BH66" s="1"/>
      <c r="BI66" s="1"/>
      <c r="BJ66" s="1"/>
      <c r="BK66" s="1"/>
      <c r="BL66" s="1"/>
      <c r="BM66" s="1"/>
      <c r="BN66" s="1"/>
      <c r="BO66" s="1"/>
      <c r="BP66" s="1"/>
      <c r="BQ66" s="1"/>
      <c r="BR66" s="1"/>
      <c r="BS66" s="1"/>
      <c r="BT66" s="1"/>
      <c r="BU66" s="1"/>
      <c r="BV66" s="1"/>
      <c r="BW66" s="1"/>
      <c r="BX66" s="1"/>
      <c r="BY66" s="1"/>
    </row>
    <row r="67" spans="1:77" ht="15.75" customHeight="1" x14ac:dyDescent="0.55000000000000004">
      <c r="A67" s="54"/>
      <c r="B67" s="45"/>
      <c r="C67" s="568" t="s">
        <v>276</v>
      </c>
      <c r="D67" s="568"/>
      <c r="E67" s="568"/>
      <c r="F67" s="568"/>
      <c r="G67" s="568"/>
      <c r="H67" s="568"/>
      <c r="I67" s="568"/>
      <c r="J67" s="568"/>
      <c r="K67" s="568"/>
      <c r="L67" s="568"/>
      <c r="M67" s="568"/>
      <c r="N67" s="568"/>
      <c r="O67" s="569"/>
      <c r="P67" s="95" t="s">
        <v>281</v>
      </c>
      <c r="Q67" s="441" t="s">
        <v>283</v>
      </c>
      <c r="R67" s="441"/>
      <c r="S67" s="441"/>
      <c r="T67" s="441"/>
      <c r="U67" s="441"/>
      <c r="V67" s="441"/>
      <c r="W67" s="442"/>
      <c r="X67" s="443">
        <v>0.5</v>
      </c>
      <c r="Y67" s="444"/>
      <c r="Z67" s="6"/>
      <c r="AA67" s="4"/>
      <c r="AB67" s="4"/>
      <c r="AC67" s="4"/>
      <c r="AD67" s="1"/>
      <c r="AF67" s="9"/>
      <c r="AG67" s="62"/>
      <c r="BB67" s="1"/>
      <c r="BC67" s="1"/>
      <c r="BD67" s="1"/>
      <c r="BE67" s="1"/>
      <c r="BF67" s="1"/>
      <c r="BG67" s="1"/>
      <c r="BH67" s="1"/>
      <c r="BI67" s="1"/>
      <c r="BJ67" s="1"/>
      <c r="BK67" s="1"/>
      <c r="BL67" s="1"/>
      <c r="BM67" s="1"/>
      <c r="BN67" s="1"/>
      <c r="BO67" s="1"/>
      <c r="BP67" s="1"/>
      <c r="BQ67" s="1"/>
      <c r="BR67" s="1"/>
      <c r="BS67" s="1"/>
      <c r="BT67" s="1"/>
      <c r="BU67" s="1"/>
      <c r="BV67" s="1"/>
      <c r="BW67" s="1"/>
      <c r="BX67" s="1"/>
      <c r="BY67" s="1"/>
    </row>
    <row r="68" spans="1:77" ht="15.75" customHeight="1" x14ac:dyDescent="0.55000000000000004">
      <c r="A68" s="54"/>
      <c r="B68" s="45"/>
      <c r="C68" s="568"/>
      <c r="D68" s="568"/>
      <c r="E68" s="568"/>
      <c r="F68" s="568"/>
      <c r="G68" s="568"/>
      <c r="H68" s="568"/>
      <c r="I68" s="568"/>
      <c r="J68" s="568"/>
      <c r="K68" s="568"/>
      <c r="L68" s="568"/>
      <c r="M68" s="568"/>
      <c r="N68" s="568"/>
      <c r="O68" s="569"/>
      <c r="P68" s="96" t="s">
        <v>282</v>
      </c>
      <c r="Q68" s="441" t="s">
        <v>274</v>
      </c>
      <c r="R68" s="441"/>
      <c r="S68" s="441"/>
      <c r="T68" s="441"/>
      <c r="U68" s="441"/>
      <c r="V68" s="441"/>
      <c r="W68" s="441"/>
      <c r="X68" s="481">
        <v>0</v>
      </c>
      <c r="Y68" s="482"/>
      <c r="Z68" s="6"/>
      <c r="AA68" s="4"/>
      <c r="AB68" s="4"/>
      <c r="AC68" s="4"/>
      <c r="AD68" s="1"/>
      <c r="AF68" s="9"/>
      <c r="AG68" s="62"/>
      <c r="BB68" s="1"/>
      <c r="BC68" s="1"/>
      <c r="BD68" s="1"/>
      <c r="BE68" s="1"/>
      <c r="BF68" s="1"/>
      <c r="BG68" s="1"/>
      <c r="BH68" s="1"/>
      <c r="BI68" s="1"/>
      <c r="BJ68" s="1"/>
      <c r="BK68" s="1"/>
      <c r="BL68" s="1"/>
      <c r="BM68" s="1"/>
      <c r="BN68" s="1"/>
      <c r="BO68" s="1"/>
      <c r="BP68" s="1"/>
      <c r="BQ68" s="1"/>
      <c r="BR68" s="1"/>
      <c r="BS68" s="1"/>
      <c r="BT68" s="1"/>
      <c r="BU68" s="1"/>
      <c r="BV68" s="1"/>
      <c r="BW68" s="1"/>
      <c r="BX68" s="1"/>
      <c r="BY68" s="1"/>
    </row>
    <row r="69" spans="1:77" ht="16.75" customHeight="1" x14ac:dyDescent="0.55000000000000004">
      <c r="A69" s="154"/>
      <c r="B69" s="527" t="s">
        <v>123</v>
      </c>
      <c r="C69" s="528"/>
      <c r="D69" s="528"/>
      <c r="E69" s="528"/>
      <c r="F69" s="528"/>
      <c r="G69" s="528"/>
      <c r="H69" s="528"/>
      <c r="I69" s="528"/>
      <c r="J69" s="528"/>
      <c r="K69" s="528"/>
      <c r="L69" s="528"/>
      <c r="M69" s="528"/>
      <c r="N69" s="528"/>
      <c r="O69" s="529"/>
      <c r="P69" s="461"/>
      <c r="Q69" s="462"/>
      <c r="R69" s="462"/>
      <c r="S69" s="462"/>
      <c r="T69" s="462"/>
      <c r="U69" s="462"/>
      <c r="V69" s="462"/>
      <c r="W69" s="462"/>
      <c r="X69" s="462"/>
      <c r="Y69" s="463"/>
      <c r="Z69" s="6"/>
      <c r="AA69" s="4"/>
      <c r="AB69" s="4"/>
      <c r="AC69" s="4"/>
      <c r="AD69" s="1"/>
      <c r="AF69" s="9"/>
      <c r="AG69" s="62" t="s">
        <v>182</v>
      </c>
      <c r="AX69" s="17"/>
      <c r="BB69" s="1"/>
      <c r="BC69" s="1"/>
      <c r="BD69" s="1"/>
      <c r="BE69" s="1"/>
      <c r="BF69" s="1"/>
      <c r="BG69" s="1"/>
      <c r="BH69" s="1"/>
      <c r="BI69" s="1"/>
      <c r="BJ69" s="1"/>
      <c r="BK69" s="1"/>
      <c r="BL69" s="1"/>
      <c r="BM69" s="1"/>
      <c r="BN69" s="1"/>
      <c r="BO69" s="1"/>
      <c r="BP69" s="1"/>
      <c r="BQ69" s="1"/>
      <c r="BR69" s="1"/>
      <c r="BS69" s="1"/>
      <c r="BT69" s="1"/>
      <c r="BU69" s="1"/>
      <c r="BV69" s="1"/>
      <c r="BW69" s="1"/>
      <c r="BX69" s="1"/>
      <c r="BY69" s="1"/>
    </row>
    <row r="70" spans="1:77" ht="36.75" customHeight="1" x14ac:dyDescent="0.55000000000000004">
      <c r="A70" s="54"/>
      <c r="B70" s="48"/>
      <c r="C70" s="493" t="s">
        <v>295</v>
      </c>
      <c r="D70" s="494"/>
      <c r="E70" s="494"/>
      <c r="F70" s="494"/>
      <c r="G70" s="494"/>
      <c r="H70" s="494"/>
      <c r="I70" s="494"/>
      <c r="J70" s="494"/>
      <c r="K70" s="494"/>
      <c r="L70" s="494"/>
      <c r="M70" s="494"/>
      <c r="N70" s="494"/>
      <c r="O70" s="495"/>
      <c r="P70" s="496" t="s">
        <v>50</v>
      </c>
      <c r="Q70" s="496"/>
      <c r="R70" s="496"/>
      <c r="S70" s="496"/>
      <c r="T70" s="496"/>
      <c r="U70" s="496"/>
      <c r="V70" s="496"/>
      <c r="W70" s="496"/>
      <c r="X70" s="496" t="s">
        <v>49</v>
      </c>
      <c r="Y70" s="496"/>
      <c r="Z70" s="6"/>
      <c r="AA70" s="4"/>
      <c r="AB70" s="4"/>
      <c r="AC70" s="4"/>
      <c r="AD70" s="1"/>
      <c r="AF70" s="9"/>
      <c r="AG70" s="62" t="s">
        <v>183</v>
      </c>
      <c r="BB70" s="1"/>
      <c r="BC70" s="1"/>
      <c r="BD70" s="1"/>
      <c r="BE70" s="1"/>
      <c r="BF70" s="1"/>
      <c r="BG70" s="1"/>
      <c r="BH70" s="1"/>
      <c r="BI70" s="1"/>
      <c r="BJ70" s="1"/>
      <c r="BK70" s="1"/>
      <c r="BL70" s="1"/>
      <c r="BM70" s="1"/>
      <c r="BN70" s="1"/>
      <c r="BO70" s="1"/>
      <c r="BP70" s="1"/>
      <c r="BQ70" s="1"/>
      <c r="BR70" s="1"/>
      <c r="BS70" s="1"/>
      <c r="BT70" s="1"/>
      <c r="BU70" s="1"/>
      <c r="BV70" s="1"/>
      <c r="BW70" s="1"/>
      <c r="BX70" s="1"/>
      <c r="BY70" s="1"/>
    </row>
    <row r="71" spans="1:77" ht="15.75" customHeight="1" x14ac:dyDescent="0.55000000000000004">
      <c r="A71" s="54"/>
      <c r="B71" s="48"/>
      <c r="C71" s="589" t="s">
        <v>316</v>
      </c>
      <c r="D71" s="307"/>
      <c r="E71" s="307"/>
      <c r="F71" s="307"/>
      <c r="G71" s="307"/>
      <c r="H71" s="307"/>
      <c r="I71" s="307"/>
      <c r="J71" s="307"/>
      <c r="K71" s="307"/>
      <c r="L71" s="307"/>
      <c r="M71" s="307"/>
      <c r="N71" s="307"/>
      <c r="O71" s="307"/>
      <c r="P71" s="88" t="s">
        <v>280</v>
      </c>
      <c r="Q71" s="474" t="s">
        <v>273</v>
      </c>
      <c r="R71" s="474"/>
      <c r="S71" s="474"/>
      <c r="T71" s="474"/>
      <c r="U71" s="474"/>
      <c r="V71" s="474"/>
      <c r="W71" s="475"/>
      <c r="X71" s="343">
        <v>1</v>
      </c>
      <c r="Y71" s="330"/>
      <c r="Z71" s="6"/>
      <c r="AA71" s="4"/>
      <c r="AB71" s="4"/>
      <c r="AC71" s="4"/>
      <c r="AD71" s="1"/>
      <c r="AF71" s="9"/>
      <c r="AG71" s="62"/>
      <c r="BB71" s="1"/>
      <c r="BC71" s="1"/>
      <c r="BD71" s="1"/>
      <c r="BE71" s="1"/>
      <c r="BF71" s="1"/>
      <c r="BG71" s="1"/>
      <c r="BH71" s="1"/>
      <c r="BI71" s="1"/>
      <c r="BJ71" s="1"/>
      <c r="BK71" s="1"/>
      <c r="BL71" s="1"/>
      <c r="BM71" s="1"/>
      <c r="BN71" s="1"/>
      <c r="BO71" s="1"/>
      <c r="BP71" s="1"/>
      <c r="BQ71" s="1"/>
      <c r="BR71" s="1"/>
      <c r="BS71" s="1"/>
      <c r="BT71" s="1"/>
      <c r="BU71" s="1"/>
      <c r="BV71" s="1"/>
      <c r="BW71" s="1"/>
      <c r="BX71" s="1"/>
      <c r="BY71" s="1"/>
    </row>
    <row r="72" spans="1:77" ht="15.75" customHeight="1" x14ac:dyDescent="0.55000000000000004">
      <c r="A72" s="54"/>
      <c r="B72" s="48"/>
      <c r="C72" s="452" t="s">
        <v>317</v>
      </c>
      <c r="D72" s="452"/>
      <c r="E72" s="452"/>
      <c r="F72" s="452"/>
      <c r="G72" s="452"/>
      <c r="H72" s="452"/>
      <c r="I72" s="452"/>
      <c r="J72" s="452"/>
      <c r="K72" s="452"/>
      <c r="L72" s="452"/>
      <c r="M72" s="452"/>
      <c r="N72" s="452"/>
      <c r="O72" s="453"/>
      <c r="P72" s="95" t="s">
        <v>281</v>
      </c>
      <c r="Q72" s="441" t="s">
        <v>292</v>
      </c>
      <c r="R72" s="441"/>
      <c r="S72" s="441"/>
      <c r="T72" s="441"/>
      <c r="U72" s="441"/>
      <c r="V72" s="441"/>
      <c r="W72" s="442"/>
      <c r="X72" s="443">
        <v>0.5</v>
      </c>
      <c r="Y72" s="444"/>
      <c r="Z72" s="6"/>
      <c r="AA72" s="4"/>
      <c r="AB72" s="4"/>
      <c r="AC72" s="4"/>
      <c r="AD72" s="1"/>
      <c r="AF72" s="9"/>
      <c r="AG72" s="62"/>
      <c r="BB72" s="1"/>
      <c r="BC72" s="1"/>
      <c r="BD72" s="1"/>
      <c r="BE72" s="1"/>
      <c r="BF72" s="1"/>
      <c r="BG72" s="1"/>
      <c r="BH72" s="1"/>
      <c r="BI72" s="1"/>
      <c r="BJ72" s="1"/>
      <c r="BK72" s="1"/>
      <c r="BL72" s="1"/>
      <c r="BM72" s="1"/>
      <c r="BN72" s="1"/>
      <c r="BO72" s="1"/>
      <c r="BP72" s="1"/>
      <c r="BQ72" s="1"/>
      <c r="BR72" s="1"/>
      <c r="BS72" s="1"/>
      <c r="BT72" s="1"/>
      <c r="BU72" s="1"/>
      <c r="BV72" s="1"/>
      <c r="BW72" s="1"/>
      <c r="BX72" s="1"/>
      <c r="BY72" s="1"/>
    </row>
    <row r="73" spans="1:77" ht="15.75" customHeight="1" x14ac:dyDescent="0.55000000000000004">
      <c r="A73" s="54"/>
      <c r="B73" s="48"/>
      <c r="C73" s="454"/>
      <c r="D73" s="454"/>
      <c r="E73" s="454"/>
      <c r="F73" s="454"/>
      <c r="G73" s="454"/>
      <c r="H73" s="454"/>
      <c r="I73" s="454"/>
      <c r="J73" s="454"/>
      <c r="K73" s="454"/>
      <c r="L73" s="454"/>
      <c r="M73" s="454"/>
      <c r="N73" s="454"/>
      <c r="O73" s="455"/>
      <c r="P73" s="82" t="s">
        <v>282</v>
      </c>
      <c r="Q73" s="441" t="s">
        <v>274</v>
      </c>
      <c r="R73" s="441"/>
      <c r="S73" s="441"/>
      <c r="T73" s="441"/>
      <c r="U73" s="441"/>
      <c r="V73" s="441"/>
      <c r="W73" s="441"/>
      <c r="X73" s="443">
        <v>0</v>
      </c>
      <c r="Y73" s="444"/>
      <c r="Z73" s="6"/>
      <c r="AA73" s="4"/>
      <c r="AB73" s="4"/>
      <c r="AC73" s="4"/>
      <c r="AD73" s="1"/>
      <c r="AF73" s="9"/>
      <c r="AG73" s="62"/>
      <c r="BB73" s="1"/>
      <c r="BC73" s="1"/>
      <c r="BD73" s="1"/>
      <c r="BE73" s="1"/>
      <c r="BF73" s="1"/>
      <c r="BG73" s="1"/>
      <c r="BH73" s="1"/>
      <c r="BI73" s="1"/>
      <c r="BJ73" s="1"/>
      <c r="BK73" s="1"/>
      <c r="BL73" s="1"/>
      <c r="BM73" s="1"/>
      <c r="BN73" s="1"/>
      <c r="BO73" s="1"/>
      <c r="BP73" s="1"/>
      <c r="BQ73" s="1"/>
      <c r="BR73" s="1"/>
      <c r="BS73" s="1"/>
      <c r="BT73" s="1"/>
      <c r="BU73" s="1"/>
      <c r="BV73" s="1"/>
      <c r="BW73" s="1"/>
      <c r="BX73" s="1"/>
      <c r="BY73" s="1"/>
    </row>
    <row r="74" spans="1:77" ht="41.25" customHeight="1" x14ac:dyDescent="0.55000000000000004">
      <c r="A74" s="54"/>
      <c r="B74" s="48"/>
      <c r="C74" s="573" t="s">
        <v>296</v>
      </c>
      <c r="D74" s="574"/>
      <c r="E74" s="574"/>
      <c r="F74" s="574"/>
      <c r="G74" s="574"/>
      <c r="H74" s="574"/>
      <c r="I74" s="574"/>
      <c r="J74" s="574"/>
      <c r="K74" s="574"/>
      <c r="L74" s="574"/>
      <c r="M74" s="574"/>
      <c r="N74" s="574"/>
      <c r="O74" s="575"/>
      <c r="P74" s="478" t="s">
        <v>50</v>
      </c>
      <c r="Q74" s="478"/>
      <c r="R74" s="478"/>
      <c r="S74" s="478"/>
      <c r="T74" s="478"/>
      <c r="U74" s="478"/>
      <c r="V74" s="478"/>
      <c r="W74" s="478"/>
      <c r="X74" s="496" t="s">
        <v>49</v>
      </c>
      <c r="Y74" s="496"/>
      <c r="Z74" s="6"/>
      <c r="AA74" s="4"/>
      <c r="AB74" s="4"/>
      <c r="AC74" s="4"/>
      <c r="AD74" s="588"/>
      <c r="AE74" s="588"/>
      <c r="AF74" s="588"/>
      <c r="AG74" s="588"/>
      <c r="AH74" s="588"/>
      <c r="AI74" s="588"/>
      <c r="AJ74" s="588"/>
      <c r="AK74" s="588"/>
      <c r="AL74" s="588"/>
      <c r="AM74" s="588"/>
      <c r="AN74" s="588"/>
      <c r="AO74" s="588"/>
      <c r="AP74" s="588"/>
      <c r="BB74" s="1"/>
      <c r="BC74" s="1"/>
      <c r="BD74" s="1"/>
      <c r="BE74" s="1"/>
      <c r="BF74" s="1"/>
      <c r="BG74" s="1"/>
      <c r="BH74" s="1"/>
      <c r="BI74" s="1"/>
      <c r="BJ74" s="1"/>
      <c r="BK74" s="1"/>
      <c r="BL74" s="1"/>
      <c r="BM74" s="1"/>
      <c r="BN74" s="1"/>
      <c r="BO74" s="1"/>
      <c r="BP74" s="1"/>
      <c r="BQ74" s="1"/>
      <c r="BR74" s="1"/>
      <c r="BS74" s="1"/>
      <c r="BT74" s="1"/>
      <c r="BU74" s="1"/>
      <c r="BV74" s="1"/>
      <c r="BW74" s="1"/>
      <c r="BX74" s="1"/>
      <c r="BY74" s="1"/>
    </row>
    <row r="75" spans="1:77" ht="15.75" customHeight="1" x14ac:dyDescent="0.55000000000000004">
      <c r="A75" s="54"/>
      <c r="B75" s="48"/>
      <c r="C75" s="323" t="s">
        <v>297</v>
      </c>
      <c r="D75" s="324"/>
      <c r="E75" s="324"/>
      <c r="F75" s="324"/>
      <c r="G75" s="324"/>
      <c r="H75" s="324"/>
      <c r="I75" s="324"/>
      <c r="J75" s="324"/>
      <c r="K75" s="324"/>
      <c r="L75" s="324"/>
      <c r="M75" s="324"/>
      <c r="N75" s="324"/>
      <c r="O75" s="324"/>
      <c r="P75" s="88" t="s">
        <v>280</v>
      </c>
      <c r="Q75" s="474" t="s">
        <v>273</v>
      </c>
      <c r="R75" s="474"/>
      <c r="S75" s="474"/>
      <c r="T75" s="474"/>
      <c r="U75" s="474"/>
      <c r="V75" s="474"/>
      <c r="W75" s="475"/>
      <c r="X75" s="343">
        <v>1</v>
      </c>
      <c r="Y75" s="330"/>
      <c r="Z75" s="6"/>
      <c r="AA75" s="4"/>
      <c r="AB75" s="4"/>
      <c r="AC75" s="4"/>
      <c r="AD75" s="99"/>
      <c r="AE75" s="99"/>
      <c r="AF75" s="99"/>
      <c r="AG75" s="99"/>
      <c r="AH75" s="99"/>
      <c r="AI75" s="99"/>
      <c r="AJ75" s="99"/>
      <c r="AK75" s="99"/>
      <c r="AL75" s="99"/>
      <c r="AM75" s="99"/>
      <c r="AN75" s="99"/>
      <c r="AO75" s="99"/>
      <c r="AP75" s="99"/>
      <c r="BB75" s="1"/>
      <c r="BC75" s="1"/>
      <c r="BD75" s="1"/>
      <c r="BE75" s="1"/>
      <c r="BF75" s="1"/>
      <c r="BG75" s="1"/>
      <c r="BH75" s="1"/>
      <c r="BI75" s="1"/>
      <c r="BJ75" s="1"/>
      <c r="BK75" s="1"/>
      <c r="BL75" s="1"/>
      <c r="BM75" s="1"/>
      <c r="BN75" s="1"/>
      <c r="BO75" s="1"/>
      <c r="BP75" s="1"/>
      <c r="BQ75" s="1"/>
      <c r="BR75" s="1"/>
      <c r="BS75" s="1"/>
      <c r="BT75" s="1"/>
      <c r="BU75" s="1"/>
      <c r="BV75" s="1"/>
      <c r="BW75" s="1"/>
      <c r="BX75" s="1"/>
      <c r="BY75" s="1"/>
    </row>
    <row r="76" spans="1:77" ht="15.75" customHeight="1" x14ac:dyDescent="0.55000000000000004">
      <c r="A76" s="54"/>
      <c r="B76" s="48"/>
      <c r="C76" s="327"/>
      <c r="D76" s="328"/>
      <c r="E76" s="328"/>
      <c r="F76" s="328"/>
      <c r="G76" s="328"/>
      <c r="H76" s="328"/>
      <c r="I76" s="328"/>
      <c r="J76" s="328"/>
      <c r="K76" s="328"/>
      <c r="L76" s="328"/>
      <c r="M76" s="328"/>
      <c r="N76" s="328"/>
      <c r="O76" s="328"/>
      <c r="P76" s="95" t="s">
        <v>281</v>
      </c>
      <c r="Q76" s="441" t="s">
        <v>292</v>
      </c>
      <c r="R76" s="441"/>
      <c r="S76" s="441"/>
      <c r="T76" s="441"/>
      <c r="U76" s="441"/>
      <c r="V76" s="441"/>
      <c r="W76" s="442"/>
      <c r="X76" s="443">
        <v>0.5</v>
      </c>
      <c r="Y76" s="444"/>
      <c r="Z76" s="6"/>
      <c r="AA76" s="4"/>
      <c r="AB76" s="4"/>
      <c r="AC76" s="4"/>
      <c r="AD76" s="99"/>
      <c r="AE76" s="99"/>
      <c r="AF76" s="99"/>
      <c r="AG76" s="99"/>
      <c r="AH76" s="99"/>
      <c r="AI76" s="99"/>
      <c r="AJ76" s="99"/>
      <c r="AK76" s="99"/>
      <c r="AL76" s="99"/>
      <c r="AM76" s="99"/>
      <c r="AN76" s="99"/>
      <c r="AO76" s="99"/>
      <c r="AP76" s="99"/>
      <c r="BB76" s="1"/>
      <c r="BC76" s="1"/>
      <c r="BD76" s="1"/>
      <c r="BE76" s="1"/>
      <c r="BF76" s="1"/>
      <c r="BG76" s="1"/>
      <c r="BH76" s="1"/>
      <c r="BI76" s="1"/>
      <c r="BJ76" s="1"/>
      <c r="BK76" s="1"/>
      <c r="BL76" s="1"/>
      <c r="BM76" s="1"/>
      <c r="BN76" s="1"/>
      <c r="BO76" s="1"/>
      <c r="BP76" s="1"/>
      <c r="BQ76" s="1"/>
      <c r="BR76" s="1"/>
      <c r="BS76" s="1"/>
      <c r="BT76" s="1"/>
      <c r="BU76" s="1"/>
      <c r="BV76" s="1"/>
      <c r="BW76" s="1"/>
      <c r="BX76" s="1"/>
      <c r="BY76" s="1"/>
    </row>
    <row r="77" spans="1:77" ht="15.75" customHeight="1" x14ac:dyDescent="0.55000000000000004">
      <c r="A77" s="54"/>
      <c r="B77" s="48"/>
      <c r="C77" s="310" t="s">
        <v>298</v>
      </c>
      <c r="D77" s="310"/>
      <c r="E77" s="310"/>
      <c r="F77" s="310"/>
      <c r="G77" s="310"/>
      <c r="H77" s="310"/>
      <c r="I77" s="310"/>
      <c r="J77" s="310"/>
      <c r="K77" s="310"/>
      <c r="L77" s="310"/>
      <c r="M77" s="310"/>
      <c r="N77" s="310"/>
      <c r="O77" s="440"/>
      <c r="P77" s="82" t="s">
        <v>282</v>
      </c>
      <c r="Q77" s="441" t="s">
        <v>274</v>
      </c>
      <c r="R77" s="441"/>
      <c r="S77" s="441"/>
      <c r="T77" s="441"/>
      <c r="U77" s="441"/>
      <c r="V77" s="441"/>
      <c r="W77" s="441"/>
      <c r="X77" s="443">
        <v>0</v>
      </c>
      <c r="Y77" s="444"/>
      <c r="Z77" s="6"/>
      <c r="AA77" s="4"/>
      <c r="AB77" s="4"/>
      <c r="AC77" s="4"/>
      <c r="AD77" s="99"/>
      <c r="AE77" s="99"/>
      <c r="AF77" s="99"/>
      <c r="AG77" s="99"/>
      <c r="AH77" s="99"/>
      <c r="AI77" s="99"/>
      <c r="AJ77" s="99"/>
      <c r="AK77" s="99"/>
      <c r="AL77" s="99"/>
      <c r="AM77" s="99"/>
      <c r="AN77" s="99"/>
      <c r="AO77" s="99"/>
      <c r="AP77" s="99"/>
      <c r="BB77" s="1"/>
      <c r="BC77" s="1"/>
      <c r="BD77" s="1"/>
      <c r="BE77" s="1"/>
      <c r="BF77" s="1"/>
      <c r="BG77" s="1"/>
      <c r="BH77" s="1"/>
      <c r="BI77" s="1"/>
      <c r="BJ77" s="1"/>
      <c r="BK77" s="1"/>
      <c r="BL77" s="1"/>
      <c r="BM77" s="1"/>
      <c r="BN77" s="1"/>
      <c r="BO77" s="1"/>
      <c r="BP77" s="1"/>
      <c r="BQ77" s="1"/>
      <c r="BR77" s="1"/>
      <c r="BS77" s="1"/>
      <c r="BT77" s="1"/>
      <c r="BU77" s="1"/>
      <c r="BV77" s="1"/>
      <c r="BW77" s="1"/>
      <c r="BX77" s="1"/>
      <c r="BY77" s="1"/>
    </row>
    <row r="78" spans="1:77" ht="15.75" customHeight="1" x14ac:dyDescent="0.55000000000000004">
      <c r="A78" s="54"/>
      <c r="B78" s="48"/>
      <c r="C78" s="310"/>
      <c r="D78" s="310"/>
      <c r="E78" s="310"/>
      <c r="F78" s="310"/>
      <c r="G78" s="310"/>
      <c r="H78" s="310"/>
      <c r="I78" s="310"/>
      <c r="J78" s="310"/>
      <c r="K78" s="310"/>
      <c r="L78" s="310"/>
      <c r="M78" s="310"/>
      <c r="N78" s="310"/>
      <c r="O78" s="440"/>
      <c r="P78" s="101"/>
      <c r="Q78" s="102"/>
      <c r="R78" s="102"/>
      <c r="S78" s="102"/>
      <c r="T78" s="102"/>
      <c r="U78" s="102"/>
      <c r="V78" s="102"/>
      <c r="W78" s="103"/>
      <c r="X78" s="102"/>
      <c r="Y78" s="103"/>
      <c r="Z78" s="6"/>
      <c r="AA78" s="4"/>
      <c r="AB78" s="4"/>
      <c r="AC78" s="4"/>
      <c r="AD78" s="99"/>
      <c r="AE78" s="99"/>
      <c r="AF78" s="99"/>
      <c r="AG78" s="99"/>
      <c r="AH78" s="99"/>
      <c r="AI78" s="99"/>
      <c r="AJ78" s="99"/>
      <c r="AK78" s="99"/>
      <c r="AL78" s="99"/>
      <c r="AM78" s="99"/>
      <c r="AN78" s="99"/>
      <c r="AO78" s="99"/>
      <c r="AP78" s="99"/>
      <c r="BB78" s="1"/>
      <c r="BC78" s="1"/>
      <c r="BD78" s="1"/>
      <c r="BE78" s="1"/>
      <c r="BF78" s="1"/>
      <c r="BG78" s="1"/>
      <c r="BH78" s="1"/>
      <c r="BI78" s="1"/>
      <c r="BJ78" s="1"/>
      <c r="BK78" s="1"/>
      <c r="BL78" s="1"/>
      <c r="BM78" s="1"/>
      <c r="BN78" s="1"/>
      <c r="BO78" s="1"/>
      <c r="BP78" s="1"/>
      <c r="BQ78" s="1"/>
      <c r="BR78" s="1"/>
      <c r="BS78" s="1"/>
      <c r="BT78" s="1"/>
      <c r="BU78" s="1"/>
      <c r="BV78" s="1"/>
      <c r="BW78" s="1"/>
      <c r="BX78" s="1"/>
      <c r="BY78" s="1"/>
    </row>
    <row r="79" spans="1:77" ht="16.75" customHeight="1" x14ac:dyDescent="0.55000000000000004">
      <c r="A79" s="154"/>
      <c r="B79" s="585" t="s">
        <v>89</v>
      </c>
      <c r="C79" s="585"/>
      <c r="D79" s="585"/>
      <c r="E79" s="585"/>
      <c r="F79" s="585"/>
      <c r="G79" s="585"/>
      <c r="H79" s="585"/>
      <c r="I79" s="585"/>
      <c r="J79" s="585"/>
      <c r="K79" s="585"/>
      <c r="L79" s="585"/>
      <c r="M79" s="585"/>
      <c r="N79" s="530"/>
      <c r="O79" s="530"/>
      <c r="P79" s="530"/>
      <c r="Q79" s="530"/>
      <c r="R79" s="530"/>
      <c r="S79" s="530"/>
      <c r="T79" s="530"/>
      <c r="U79" s="530"/>
      <c r="V79" s="530"/>
      <c r="W79" s="530"/>
      <c r="X79" s="530"/>
      <c r="Y79" s="530"/>
      <c r="Z79" s="6"/>
      <c r="AA79" s="4"/>
      <c r="AB79" s="4"/>
      <c r="AC79" s="4"/>
      <c r="AD79" s="1"/>
      <c r="AF79" s="9"/>
      <c r="AG79" s="62" t="s">
        <v>187</v>
      </c>
      <c r="BB79" s="1"/>
      <c r="BC79" s="1"/>
      <c r="BD79" s="1"/>
      <c r="BE79" s="1"/>
      <c r="BF79" s="1"/>
      <c r="BG79" s="1"/>
      <c r="BH79" s="1"/>
      <c r="BI79" s="1"/>
      <c r="BJ79" s="1"/>
      <c r="BK79" s="1"/>
      <c r="BL79" s="1"/>
      <c r="BM79" s="1"/>
      <c r="BN79" s="1"/>
      <c r="BO79" s="1"/>
      <c r="BP79" s="1"/>
      <c r="BQ79" s="1"/>
      <c r="BR79" s="1"/>
      <c r="BS79" s="1"/>
      <c r="BT79" s="1"/>
      <c r="BU79" s="1"/>
      <c r="BV79" s="1"/>
      <c r="BW79" s="1"/>
      <c r="BX79" s="1"/>
      <c r="BY79" s="1"/>
    </row>
    <row r="80" spans="1:77" ht="16.75" customHeight="1" x14ac:dyDescent="0.55000000000000004">
      <c r="A80" s="54"/>
      <c r="B80" s="46"/>
      <c r="C80" s="527" t="s">
        <v>116</v>
      </c>
      <c r="D80" s="528"/>
      <c r="E80" s="528"/>
      <c r="F80" s="528"/>
      <c r="G80" s="528"/>
      <c r="H80" s="528"/>
      <c r="I80" s="528"/>
      <c r="J80" s="528"/>
      <c r="K80" s="528"/>
      <c r="L80" s="528"/>
      <c r="M80" s="528"/>
      <c r="N80" s="528"/>
      <c r="O80" s="529"/>
      <c r="P80" s="564" t="s">
        <v>50</v>
      </c>
      <c r="Q80" s="564"/>
      <c r="R80" s="564"/>
      <c r="S80" s="564"/>
      <c r="T80" s="564"/>
      <c r="U80" s="564"/>
      <c r="V80" s="564"/>
      <c r="W80" s="564"/>
      <c r="X80" s="565" t="s">
        <v>49</v>
      </c>
      <c r="Y80" s="565"/>
      <c r="Z80" s="7"/>
      <c r="AA80" s="4"/>
      <c r="AB80" s="4"/>
      <c r="AC80" s="4"/>
      <c r="AD80" s="1"/>
      <c r="AF80" s="10">
        <v>7</v>
      </c>
      <c r="AG80" s="10" t="s">
        <v>258</v>
      </c>
      <c r="AH80" s="62"/>
      <c r="BB80" s="1"/>
      <c r="BC80" s="1"/>
      <c r="BD80" s="1"/>
      <c r="BE80" s="1"/>
      <c r="BF80" s="1"/>
      <c r="BG80" s="1"/>
      <c r="BH80" s="1"/>
      <c r="BI80" s="1"/>
      <c r="BJ80" s="1"/>
      <c r="BK80" s="1"/>
      <c r="BL80" s="1"/>
      <c r="BM80" s="1"/>
      <c r="BN80" s="1"/>
      <c r="BO80" s="1"/>
      <c r="BP80" s="1"/>
      <c r="BQ80" s="1"/>
      <c r="BR80" s="1"/>
      <c r="BS80" s="1"/>
      <c r="BT80" s="1"/>
      <c r="BU80" s="1"/>
      <c r="BV80" s="1"/>
      <c r="BW80" s="1"/>
      <c r="BX80" s="1"/>
      <c r="BY80" s="1"/>
    </row>
    <row r="81" spans="1:77" ht="15.75" customHeight="1" x14ac:dyDescent="0.55000000000000004">
      <c r="A81" s="54"/>
      <c r="B81" s="46"/>
      <c r="C81" s="45"/>
      <c r="D81" s="566" t="s">
        <v>319</v>
      </c>
      <c r="E81" s="566"/>
      <c r="F81" s="566"/>
      <c r="G81" s="566"/>
      <c r="H81" s="566"/>
      <c r="I81" s="566"/>
      <c r="J81" s="566"/>
      <c r="K81" s="566"/>
      <c r="L81" s="566"/>
      <c r="M81" s="566"/>
      <c r="N81" s="566"/>
      <c r="O81" s="567"/>
      <c r="P81" s="88" t="s">
        <v>280</v>
      </c>
      <c r="Q81" s="474" t="s">
        <v>273</v>
      </c>
      <c r="R81" s="474"/>
      <c r="S81" s="474"/>
      <c r="T81" s="474"/>
      <c r="U81" s="474"/>
      <c r="V81" s="474"/>
      <c r="W81" s="474"/>
      <c r="X81" s="343">
        <v>1</v>
      </c>
      <c r="Y81" s="330"/>
      <c r="Z81" s="7"/>
      <c r="AA81" s="4"/>
      <c r="AB81" s="4"/>
      <c r="AC81" s="4"/>
      <c r="AD81" s="1"/>
      <c r="AF81" s="9"/>
      <c r="AG81" s="62" t="s">
        <v>188</v>
      </c>
      <c r="BA81" s="1"/>
      <c r="BB81" s="1"/>
      <c r="BC81" s="1"/>
      <c r="BD81" s="1"/>
      <c r="BE81" s="1"/>
      <c r="BF81" s="1"/>
      <c r="BG81" s="1"/>
      <c r="BH81" s="1"/>
      <c r="BI81" s="1"/>
      <c r="BJ81" s="1"/>
      <c r="BK81" s="1"/>
      <c r="BL81" s="1"/>
      <c r="BM81" s="1"/>
      <c r="BN81" s="1"/>
      <c r="BO81" s="1"/>
      <c r="BP81" s="1"/>
      <c r="BQ81" s="1"/>
      <c r="BR81" s="1"/>
      <c r="BS81" s="1"/>
      <c r="BT81" s="1"/>
      <c r="BU81" s="1"/>
      <c r="BV81" s="1"/>
      <c r="BW81" s="1"/>
      <c r="BX81" s="1"/>
      <c r="BY81" s="1"/>
    </row>
    <row r="82" spans="1:77" ht="15.75" customHeight="1" x14ac:dyDescent="0.55000000000000004">
      <c r="A82" s="54"/>
      <c r="B82" s="46"/>
      <c r="C82" s="45"/>
      <c r="D82" s="566"/>
      <c r="E82" s="566"/>
      <c r="F82" s="566"/>
      <c r="G82" s="566"/>
      <c r="H82" s="566"/>
      <c r="I82" s="566"/>
      <c r="J82" s="566"/>
      <c r="K82" s="566"/>
      <c r="L82" s="566"/>
      <c r="M82" s="566"/>
      <c r="N82" s="566"/>
      <c r="O82" s="567"/>
      <c r="P82" s="66"/>
      <c r="X82" s="66"/>
      <c r="Y82" s="115"/>
      <c r="Z82" s="7"/>
      <c r="AA82" s="4"/>
      <c r="AB82" s="4"/>
      <c r="AC82" s="4"/>
      <c r="AD82" s="1"/>
      <c r="AF82" s="9"/>
      <c r="AG82" s="62"/>
      <c r="BA82" s="1"/>
      <c r="BB82" s="1"/>
      <c r="BC82" s="1"/>
      <c r="BD82" s="1"/>
      <c r="BE82" s="1"/>
      <c r="BF82" s="1"/>
      <c r="BG82" s="1"/>
      <c r="BH82" s="1"/>
      <c r="BI82" s="1"/>
      <c r="BJ82" s="1"/>
      <c r="BK82" s="1"/>
      <c r="BL82" s="1"/>
      <c r="BM82" s="1"/>
      <c r="BN82" s="1"/>
      <c r="BO82" s="1"/>
      <c r="BP82" s="1"/>
      <c r="BQ82" s="1"/>
      <c r="BR82" s="1"/>
      <c r="BS82" s="1"/>
      <c r="BT82" s="1"/>
      <c r="BU82" s="1"/>
      <c r="BV82" s="1"/>
      <c r="BW82" s="1"/>
      <c r="BX82" s="1"/>
      <c r="BY82" s="1"/>
    </row>
    <row r="83" spans="1:77" ht="15.75" customHeight="1" x14ac:dyDescent="0.55000000000000004">
      <c r="A83" s="54"/>
      <c r="B83" s="46"/>
      <c r="C83" s="45"/>
      <c r="D83" s="566" t="s">
        <v>337</v>
      </c>
      <c r="E83" s="566"/>
      <c r="F83" s="566"/>
      <c r="G83" s="566"/>
      <c r="H83" s="566"/>
      <c r="I83" s="566"/>
      <c r="J83" s="566"/>
      <c r="K83" s="566"/>
      <c r="L83" s="566"/>
      <c r="M83" s="566"/>
      <c r="N83" s="566"/>
      <c r="O83" s="567"/>
      <c r="P83" s="95" t="s">
        <v>281</v>
      </c>
      <c r="Q83" s="441" t="s">
        <v>292</v>
      </c>
      <c r="R83" s="441"/>
      <c r="S83" s="441"/>
      <c r="T83" s="441"/>
      <c r="U83" s="441"/>
      <c r="V83" s="441"/>
      <c r="W83" s="442"/>
      <c r="X83" s="443">
        <v>0.5</v>
      </c>
      <c r="Y83" s="444"/>
      <c r="Z83" s="7"/>
      <c r="AA83" s="4"/>
      <c r="AB83" s="4"/>
      <c r="AC83" s="4"/>
      <c r="AD83" s="1"/>
      <c r="AF83" s="9"/>
      <c r="AG83" s="62"/>
      <c r="BA83" s="1"/>
      <c r="BB83" s="1"/>
      <c r="BC83" s="1"/>
      <c r="BD83" s="1"/>
      <c r="BE83" s="1"/>
      <c r="BF83" s="1"/>
      <c r="BG83" s="1"/>
      <c r="BH83" s="1"/>
      <c r="BI83" s="1"/>
      <c r="BJ83" s="1"/>
      <c r="BK83" s="1"/>
      <c r="BL83" s="1"/>
      <c r="BM83" s="1"/>
      <c r="BN83" s="1"/>
      <c r="BO83" s="1"/>
      <c r="BP83" s="1"/>
      <c r="BQ83" s="1"/>
      <c r="BR83" s="1"/>
      <c r="BS83" s="1"/>
      <c r="BT83" s="1"/>
      <c r="BU83" s="1"/>
      <c r="BV83" s="1"/>
      <c r="BW83" s="1"/>
      <c r="BX83" s="1"/>
      <c r="BY83" s="1"/>
    </row>
    <row r="84" spans="1:77" ht="15.75" customHeight="1" x14ac:dyDescent="0.55000000000000004">
      <c r="A84" s="54"/>
      <c r="B84" s="46"/>
      <c r="C84" s="45"/>
      <c r="D84" s="566"/>
      <c r="E84" s="566"/>
      <c r="F84" s="566"/>
      <c r="G84" s="566"/>
      <c r="H84" s="566"/>
      <c r="I84" s="566"/>
      <c r="J84" s="566"/>
      <c r="K84" s="566"/>
      <c r="L84" s="566"/>
      <c r="M84" s="566"/>
      <c r="N84" s="566"/>
      <c r="O84" s="567"/>
      <c r="P84" s="66"/>
      <c r="R84" s="76"/>
      <c r="S84" s="76"/>
      <c r="T84" s="76"/>
      <c r="U84" s="76"/>
      <c r="V84" s="76"/>
      <c r="W84" s="76"/>
      <c r="X84" s="66"/>
      <c r="Y84" s="110"/>
      <c r="Z84" s="7"/>
      <c r="AA84" s="4"/>
      <c r="AB84" s="4"/>
      <c r="AC84" s="4"/>
      <c r="AD84" s="1"/>
      <c r="AF84" s="9"/>
      <c r="AG84" s="62"/>
      <c r="BA84" s="1"/>
      <c r="BB84" s="1"/>
      <c r="BC84" s="1"/>
      <c r="BD84" s="1"/>
      <c r="BE84" s="1"/>
      <c r="BF84" s="1"/>
      <c r="BG84" s="1"/>
      <c r="BH84" s="1"/>
      <c r="BI84" s="1"/>
      <c r="BJ84" s="1"/>
      <c r="BK84" s="1"/>
      <c r="BL84" s="1"/>
      <c r="BM84" s="1"/>
      <c r="BN84" s="1"/>
      <c r="BO84" s="1"/>
      <c r="BP84" s="1"/>
      <c r="BQ84" s="1"/>
      <c r="BR84" s="1"/>
      <c r="BS84" s="1"/>
      <c r="BT84" s="1"/>
      <c r="BU84" s="1"/>
      <c r="BV84" s="1"/>
      <c r="BW84" s="1"/>
      <c r="BX84" s="1"/>
      <c r="BY84" s="1"/>
    </row>
    <row r="85" spans="1:77" ht="15.75" customHeight="1" x14ac:dyDescent="0.55000000000000004">
      <c r="A85" s="54"/>
      <c r="B85" s="46"/>
      <c r="C85" s="45"/>
      <c r="D85" s="321" t="s">
        <v>320</v>
      </c>
      <c r="E85" s="321"/>
      <c r="F85" s="321"/>
      <c r="G85" s="321"/>
      <c r="H85" s="321"/>
      <c r="I85" s="321"/>
      <c r="J85" s="321"/>
      <c r="K85" s="321"/>
      <c r="L85" s="321"/>
      <c r="M85" s="321"/>
      <c r="N85" s="321"/>
      <c r="O85" s="306"/>
      <c r="P85" s="82" t="s">
        <v>282</v>
      </c>
      <c r="Q85" s="441" t="s">
        <v>274</v>
      </c>
      <c r="R85" s="441"/>
      <c r="S85" s="441"/>
      <c r="T85" s="441"/>
      <c r="U85" s="441"/>
      <c r="V85" s="441"/>
      <c r="W85" s="441"/>
      <c r="X85" s="481">
        <v>0</v>
      </c>
      <c r="Y85" s="482"/>
      <c r="Z85" s="7"/>
      <c r="AA85" s="4"/>
      <c r="AB85" s="4"/>
      <c r="AC85" s="4"/>
      <c r="AD85" s="1"/>
      <c r="AF85" s="9"/>
      <c r="AG85" s="62"/>
      <c r="BA85" s="1"/>
      <c r="BB85" s="1"/>
      <c r="BC85" s="1"/>
      <c r="BD85" s="1"/>
      <c r="BE85" s="1"/>
      <c r="BF85" s="1"/>
      <c r="BG85" s="1"/>
      <c r="BH85" s="1"/>
      <c r="BI85" s="1"/>
      <c r="BJ85" s="1"/>
      <c r="BK85" s="1"/>
      <c r="BL85" s="1"/>
      <c r="BM85" s="1"/>
      <c r="BN85" s="1"/>
      <c r="BO85" s="1"/>
      <c r="BP85" s="1"/>
      <c r="BQ85" s="1"/>
      <c r="BR85" s="1"/>
      <c r="BS85" s="1"/>
      <c r="BT85" s="1"/>
      <c r="BU85" s="1"/>
      <c r="BV85" s="1"/>
      <c r="BW85" s="1"/>
      <c r="BX85" s="1"/>
      <c r="BY85" s="1"/>
    </row>
    <row r="86" spans="1:77" ht="16.75" customHeight="1" x14ac:dyDescent="0.55000000000000004">
      <c r="A86" s="155"/>
      <c r="B86" s="60"/>
      <c r="C86" s="347" t="s">
        <v>117</v>
      </c>
      <c r="D86" s="348"/>
      <c r="E86" s="348"/>
      <c r="F86" s="348"/>
      <c r="G86" s="348"/>
      <c r="H86" s="348"/>
      <c r="I86" s="348"/>
      <c r="J86" s="348"/>
      <c r="K86" s="348"/>
      <c r="L86" s="348"/>
      <c r="M86" s="348"/>
      <c r="N86" s="348"/>
      <c r="O86" s="349"/>
      <c r="P86" s="409" t="s">
        <v>50</v>
      </c>
      <c r="Q86" s="410"/>
      <c r="R86" s="410"/>
      <c r="S86" s="410"/>
      <c r="T86" s="410"/>
      <c r="U86" s="410"/>
      <c r="V86" s="410"/>
      <c r="W86" s="410"/>
      <c r="X86" s="411" t="s">
        <v>49</v>
      </c>
      <c r="Y86" s="411"/>
      <c r="Z86" s="7"/>
      <c r="AA86" s="4"/>
      <c r="AB86" s="4"/>
      <c r="AC86" s="4"/>
      <c r="AD86" s="1"/>
      <c r="AE86" s="1"/>
      <c r="AF86" s="9"/>
      <c r="AG86" t="s">
        <v>191</v>
      </c>
      <c r="AX86" s="17"/>
      <c r="BA86" s="1"/>
      <c r="BB86" s="1"/>
      <c r="BC86" s="1"/>
      <c r="BD86" s="1"/>
      <c r="BE86" s="1"/>
      <c r="BF86" s="1"/>
      <c r="BG86" s="1"/>
      <c r="BH86" s="1"/>
      <c r="BI86" s="1"/>
      <c r="BJ86" s="1"/>
      <c r="BK86" s="1"/>
      <c r="BL86" s="1"/>
      <c r="BM86" s="1"/>
      <c r="BN86" s="1"/>
      <c r="BO86" s="1"/>
      <c r="BP86" s="1"/>
      <c r="BQ86" s="1"/>
      <c r="BR86" s="1"/>
      <c r="BS86" s="1"/>
      <c r="BT86" s="1"/>
      <c r="BU86" s="1"/>
      <c r="BV86" s="1"/>
      <c r="BW86" s="1"/>
      <c r="BX86" s="1"/>
      <c r="BY86" s="1"/>
    </row>
    <row r="87" spans="1:77" ht="31.5" customHeight="1" x14ac:dyDescent="0.55000000000000004">
      <c r="A87" s="54"/>
      <c r="B87" s="46"/>
      <c r="C87" s="45"/>
      <c r="D87" s="569" t="s">
        <v>322</v>
      </c>
      <c r="E87" s="586"/>
      <c r="F87" s="586"/>
      <c r="G87" s="586"/>
      <c r="H87" s="586"/>
      <c r="I87" s="586"/>
      <c r="J87" s="586"/>
      <c r="K87" s="586"/>
      <c r="L87" s="586"/>
      <c r="M87" s="586"/>
      <c r="N87" s="586"/>
      <c r="O87" s="587"/>
      <c r="P87" s="116" t="s">
        <v>280</v>
      </c>
      <c r="Q87" s="111" t="s">
        <v>273</v>
      </c>
      <c r="R87" s="89"/>
      <c r="S87" s="89"/>
      <c r="T87" s="89"/>
      <c r="U87" s="89"/>
      <c r="V87" s="89"/>
      <c r="W87" s="89"/>
      <c r="X87" s="576">
        <v>1</v>
      </c>
      <c r="Y87" s="577"/>
      <c r="Z87" s="7"/>
      <c r="AA87" s="4"/>
      <c r="AB87" s="4"/>
      <c r="AC87" s="4"/>
      <c r="AD87" s="1"/>
      <c r="AE87" s="1"/>
      <c r="AF87" s="9"/>
      <c r="AG87" t="s">
        <v>192</v>
      </c>
      <c r="AX87" s="17"/>
      <c r="BA87" s="1"/>
      <c r="BB87" s="1"/>
      <c r="BC87" s="1"/>
      <c r="BD87" s="1"/>
      <c r="BE87" s="1"/>
      <c r="BF87" s="1"/>
      <c r="BG87" s="1"/>
      <c r="BH87" s="1"/>
      <c r="BI87" s="1"/>
      <c r="BJ87" s="1"/>
      <c r="BK87" s="1"/>
      <c r="BL87" s="1"/>
      <c r="BM87" s="1"/>
      <c r="BN87" s="1"/>
      <c r="BO87" s="1"/>
      <c r="BP87" s="1"/>
      <c r="BQ87" s="1"/>
      <c r="BR87" s="1"/>
      <c r="BS87" s="1"/>
      <c r="BT87" s="1"/>
      <c r="BU87" s="1"/>
      <c r="BV87" s="1"/>
      <c r="BW87" s="1"/>
      <c r="BX87" s="1"/>
      <c r="BY87" s="1"/>
    </row>
    <row r="88" spans="1:77" ht="15.75" customHeight="1" x14ac:dyDescent="0.55000000000000004">
      <c r="A88" s="54"/>
      <c r="B88" s="46"/>
      <c r="C88" s="45"/>
      <c r="D88" s="325" t="s">
        <v>323</v>
      </c>
      <c r="E88" s="326"/>
      <c r="F88" s="326"/>
      <c r="G88" s="326"/>
      <c r="H88" s="326"/>
      <c r="I88" s="326"/>
      <c r="J88" s="326"/>
      <c r="K88" s="326"/>
      <c r="L88" s="326"/>
      <c r="M88" s="326"/>
      <c r="N88" s="326"/>
      <c r="O88" s="341"/>
      <c r="P88" s="95" t="s">
        <v>281</v>
      </c>
      <c r="Q88" s="441" t="s">
        <v>292</v>
      </c>
      <c r="R88" s="441"/>
      <c r="S88" s="441"/>
      <c r="T88" s="441"/>
      <c r="U88" s="441"/>
      <c r="V88" s="441"/>
      <c r="W88" s="442"/>
      <c r="X88" s="443">
        <v>0.5</v>
      </c>
      <c r="Y88" s="444"/>
      <c r="Z88" s="7"/>
      <c r="AA88" s="4"/>
      <c r="AB88" s="4"/>
      <c r="AC88" s="4"/>
      <c r="AD88" s="1"/>
      <c r="AE88" s="1"/>
      <c r="AF88" s="9"/>
      <c r="AX88" s="17"/>
      <c r="BA88" s="1"/>
      <c r="BB88" s="1"/>
      <c r="BC88" s="1"/>
      <c r="BD88" s="1"/>
      <c r="BE88" s="1"/>
      <c r="BF88" s="1"/>
      <c r="BG88" s="1"/>
      <c r="BH88" s="1"/>
      <c r="BI88" s="1"/>
      <c r="BJ88" s="1"/>
      <c r="BK88" s="1"/>
      <c r="BL88" s="1"/>
      <c r="BM88" s="1"/>
      <c r="BN88" s="1"/>
      <c r="BO88" s="1"/>
      <c r="BP88" s="1"/>
      <c r="BQ88" s="1"/>
      <c r="BR88" s="1"/>
      <c r="BS88" s="1"/>
      <c r="BT88" s="1"/>
      <c r="BU88" s="1"/>
      <c r="BV88" s="1"/>
      <c r="BW88" s="1"/>
      <c r="BX88" s="1"/>
      <c r="BY88" s="1"/>
    </row>
    <row r="89" spans="1:77" ht="15.75" customHeight="1" x14ac:dyDescent="0.55000000000000004">
      <c r="A89" s="54"/>
      <c r="B89" s="46"/>
      <c r="C89" s="45"/>
      <c r="D89" s="325"/>
      <c r="E89" s="326"/>
      <c r="F89" s="326"/>
      <c r="G89" s="326"/>
      <c r="H89" s="326"/>
      <c r="I89" s="326"/>
      <c r="J89" s="326"/>
      <c r="K89" s="326"/>
      <c r="L89" s="326"/>
      <c r="M89" s="326"/>
      <c r="N89" s="326"/>
      <c r="O89" s="341"/>
      <c r="X89" s="66"/>
      <c r="Y89" s="115"/>
      <c r="Z89" s="7"/>
      <c r="AA89" s="4"/>
      <c r="AB89" s="4"/>
      <c r="AC89" s="4"/>
      <c r="AD89" s="1"/>
      <c r="AE89" s="1"/>
      <c r="AF89" s="9"/>
      <c r="AX89" s="17"/>
      <c r="BA89" s="1"/>
      <c r="BB89" s="1"/>
      <c r="BC89" s="1"/>
      <c r="BD89" s="1"/>
      <c r="BE89" s="1"/>
      <c r="BF89" s="1"/>
      <c r="BG89" s="1"/>
      <c r="BH89" s="1"/>
      <c r="BI89" s="1"/>
      <c r="BJ89" s="1"/>
      <c r="BK89" s="1"/>
      <c r="BL89" s="1"/>
      <c r="BM89" s="1"/>
      <c r="BN89" s="1"/>
      <c r="BO89" s="1"/>
      <c r="BP89" s="1"/>
      <c r="BQ89" s="1"/>
      <c r="BR89" s="1"/>
      <c r="BS89" s="1"/>
      <c r="BT89" s="1"/>
      <c r="BU89" s="1"/>
      <c r="BV89" s="1"/>
      <c r="BW89" s="1"/>
      <c r="BX89" s="1"/>
      <c r="BY89" s="1"/>
    </row>
    <row r="90" spans="1:77" ht="15.75" customHeight="1" x14ac:dyDescent="0.55000000000000004">
      <c r="A90" s="54"/>
      <c r="B90" s="46"/>
      <c r="C90" s="45"/>
      <c r="D90" s="321" t="s">
        <v>324</v>
      </c>
      <c r="E90" s="321"/>
      <c r="F90" s="321"/>
      <c r="G90" s="321"/>
      <c r="H90" s="321"/>
      <c r="I90" s="321"/>
      <c r="J90" s="321"/>
      <c r="K90" s="321"/>
      <c r="L90" s="321"/>
      <c r="M90" s="321"/>
      <c r="N90" s="321"/>
      <c r="O90" s="321"/>
      <c r="P90" s="96" t="s">
        <v>282</v>
      </c>
      <c r="Q90" s="441" t="s">
        <v>274</v>
      </c>
      <c r="R90" s="441"/>
      <c r="S90" s="441"/>
      <c r="T90" s="441"/>
      <c r="U90" s="441"/>
      <c r="V90" s="441"/>
      <c r="W90" s="441"/>
      <c r="X90" s="481">
        <v>0</v>
      </c>
      <c r="Y90" s="482"/>
      <c r="Z90" s="7"/>
      <c r="AA90" s="4"/>
      <c r="AB90" s="4"/>
      <c r="AC90" s="4"/>
      <c r="AD90" s="1"/>
      <c r="AE90" s="1"/>
      <c r="AF90" s="9"/>
      <c r="AX90" s="17"/>
      <c r="BA90" s="1"/>
      <c r="BB90" s="1"/>
      <c r="BC90" s="1"/>
      <c r="BD90" s="1"/>
      <c r="BE90" s="1"/>
      <c r="BF90" s="1"/>
      <c r="BG90" s="1"/>
      <c r="BH90" s="1"/>
      <c r="BI90" s="1"/>
      <c r="BJ90" s="1"/>
      <c r="BK90" s="1"/>
      <c r="BL90" s="1"/>
      <c r="BM90" s="1"/>
      <c r="BN90" s="1"/>
      <c r="BO90" s="1"/>
      <c r="BP90" s="1"/>
      <c r="BQ90" s="1"/>
      <c r="BR90" s="1"/>
      <c r="BS90" s="1"/>
      <c r="BT90" s="1"/>
      <c r="BU90" s="1"/>
      <c r="BV90" s="1"/>
      <c r="BW90" s="1"/>
      <c r="BX90" s="1"/>
      <c r="BY90" s="1"/>
    </row>
    <row r="91" spans="1:77" ht="16.75" customHeight="1" x14ac:dyDescent="0.55000000000000004">
      <c r="A91" s="155"/>
      <c r="B91" s="59"/>
      <c r="C91" s="347" t="s">
        <v>119</v>
      </c>
      <c r="D91" s="348"/>
      <c r="E91" s="348"/>
      <c r="F91" s="348"/>
      <c r="G91" s="348"/>
      <c r="H91" s="348"/>
      <c r="I91" s="348"/>
      <c r="J91" s="348"/>
      <c r="K91" s="348"/>
      <c r="L91" s="348"/>
      <c r="M91" s="348"/>
      <c r="N91" s="348"/>
      <c r="O91" s="349"/>
      <c r="P91" s="517" t="s">
        <v>50</v>
      </c>
      <c r="Q91" s="517"/>
      <c r="R91" s="517"/>
      <c r="S91" s="517"/>
      <c r="T91" s="517"/>
      <c r="U91" s="517"/>
      <c r="V91" s="517"/>
      <c r="W91" s="517"/>
      <c r="X91" s="517" t="s">
        <v>49</v>
      </c>
      <c r="Y91" s="517"/>
      <c r="Z91" s="7"/>
      <c r="AA91" s="4"/>
      <c r="AB91" s="4"/>
      <c r="AC91" s="4"/>
      <c r="AD91" s="1"/>
      <c r="AE91" s="1"/>
      <c r="AF91" s="10">
        <v>9</v>
      </c>
      <c r="AG91" s="10" t="s">
        <v>269</v>
      </c>
      <c r="AX91" s="17"/>
      <c r="BA91" s="1"/>
      <c r="BB91" s="1"/>
      <c r="BC91" s="1"/>
      <c r="BD91" s="1"/>
      <c r="BE91" s="1"/>
      <c r="BF91" s="1"/>
      <c r="BG91" s="1"/>
      <c r="BH91" s="1"/>
      <c r="BI91" s="1"/>
      <c r="BJ91" s="1"/>
      <c r="BK91" s="1"/>
      <c r="BL91" s="1"/>
      <c r="BM91" s="1"/>
      <c r="BN91" s="1"/>
      <c r="BO91" s="1"/>
      <c r="BP91" s="1"/>
      <c r="BQ91" s="1"/>
      <c r="BR91" s="1"/>
      <c r="BS91" s="1"/>
      <c r="BT91" s="1"/>
      <c r="BU91" s="1"/>
      <c r="BV91" s="1"/>
      <c r="BW91" s="1"/>
      <c r="BX91" s="1"/>
      <c r="BY91" s="1"/>
    </row>
    <row r="92" spans="1:77" ht="15.75" customHeight="1" x14ac:dyDescent="0.55000000000000004">
      <c r="A92" s="54"/>
      <c r="B92" s="46"/>
      <c r="C92" s="45"/>
      <c r="D92" s="310" t="s">
        <v>325</v>
      </c>
      <c r="E92" s="310"/>
      <c r="F92" s="310"/>
      <c r="G92" s="310"/>
      <c r="H92" s="310"/>
      <c r="I92" s="310"/>
      <c r="J92" s="310"/>
      <c r="K92" s="310"/>
      <c r="L92" s="310"/>
      <c r="M92" s="310"/>
      <c r="N92" s="310"/>
      <c r="O92" s="310"/>
      <c r="P92" s="88" t="s">
        <v>280</v>
      </c>
      <c r="Q92" s="89" t="s">
        <v>273</v>
      </c>
      <c r="R92" s="89"/>
      <c r="S92" s="89"/>
      <c r="T92" s="89"/>
      <c r="U92" s="89"/>
      <c r="V92" s="89"/>
      <c r="W92" s="89"/>
      <c r="X92" s="343">
        <v>1</v>
      </c>
      <c r="Y92" s="330"/>
      <c r="Z92" s="7"/>
      <c r="AA92" s="4"/>
      <c r="AB92" s="4"/>
      <c r="AC92" s="4"/>
      <c r="AD92" s="1"/>
      <c r="AF92" s="9"/>
      <c r="AG92" t="s">
        <v>197</v>
      </c>
      <c r="AX92" s="17"/>
      <c r="BA92" s="1"/>
      <c r="BB92" s="1"/>
      <c r="BC92" s="1"/>
      <c r="BD92" s="1"/>
      <c r="BE92" s="1"/>
      <c r="BF92" s="1"/>
      <c r="BG92" s="1"/>
      <c r="BH92" s="1"/>
      <c r="BI92" s="1"/>
      <c r="BJ92" s="1"/>
      <c r="BK92" s="1"/>
      <c r="BL92" s="1"/>
      <c r="BM92" s="1"/>
      <c r="BN92" s="1"/>
      <c r="BO92" s="1"/>
      <c r="BP92" s="1"/>
      <c r="BQ92" s="1"/>
      <c r="BR92" s="1"/>
      <c r="BS92" s="1"/>
      <c r="BT92" s="1"/>
      <c r="BU92" s="1"/>
      <c r="BV92" s="1"/>
      <c r="BW92" s="1"/>
      <c r="BX92" s="1"/>
      <c r="BY92" s="1"/>
    </row>
    <row r="93" spans="1:77" ht="15.75" customHeight="1" x14ac:dyDescent="0.55000000000000004">
      <c r="A93" s="54"/>
      <c r="B93" s="46"/>
      <c r="C93" s="45"/>
      <c r="D93" s="310"/>
      <c r="E93" s="310"/>
      <c r="F93" s="310"/>
      <c r="G93" s="310"/>
      <c r="H93" s="310"/>
      <c r="I93" s="310"/>
      <c r="J93" s="310"/>
      <c r="K93" s="310"/>
      <c r="L93" s="310"/>
      <c r="M93" s="310"/>
      <c r="N93" s="310"/>
      <c r="O93" s="310"/>
      <c r="X93" s="66"/>
      <c r="Y93" s="115"/>
      <c r="Z93" s="7"/>
      <c r="AA93" s="4"/>
      <c r="AB93" s="4"/>
      <c r="AC93" s="4"/>
      <c r="AD93" s="1"/>
      <c r="AF93" s="9"/>
      <c r="AX93" s="17"/>
      <c r="BA93" s="1"/>
      <c r="BB93" s="1"/>
      <c r="BC93" s="1"/>
      <c r="BD93" s="1"/>
      <c r="BE93" s="1"/>
      <c r="BF93" s="1"/>
      <c r="BG93" s="1"/>
      <c r="BH93" s="1"/>
      <c r="BI93" s="1"/>
      <c r="BJ93" s="1"/>
      <c r="BK93" s="1"/>
      <c r="BL93" s="1"/>
      <c r="BM93" s="1"/>
      <c r="BN93" s="1"/>
      <c r="BO93" s="1"/>
      <c r="BP93" s="1"/>
      <c r="BQ93" s="1"/>
      <c r="BR93" s="1"/>
      <c r="BS93" s="1"/>
      <c r="BT93" s="1"/>
      <c r="BU93" s="1"/>
      <c r="BV93" s="1"/>
      <c r="BW93" s="1"/>
      <c r="BX93" s="1"/>
      <c r="BY93" s="1"/>
    </row>
    <row r="94" spans="1:77" ht="15.75" customHeight="1" x14ac:dyDescent="0.55000000000000004">
      <c r="A94" s="54"/>
      <c r="B94" s="46"/>
      <c r="C94" s="45"/>
      <c r="D94" s="310" t="s">
        <v>299</v>
      </c>
      <c r="E94" s="310"/>
      <c r="F94" s="310"/>
      <c r="G94" s="310"/>
      <c r="H94" s="310"/>
      <c r="I94" s="310"/>
      <c r="J94" s="310"/>
      <c r="K94" s="310"/>
      <c r="L94" s="310"/>
      <c r="M94" s="310"/>
      <c r="N94" s="310"/>
      <c r="O94" s="310"/>
      <c r="P94" s="95" t="s">
        <v>281</v>
      </c>
      <c r="Q94" s="441" t="s">
        <v>292</v>
      </c>
      <c r="R94" s="441"/>
      <c r="S94" s="441"/>
      <c r="T94" s="441"/>
      <c r="U94" s="441"/>
      <c r="V94" s="441"/>
      <c r="W94" s="442"/>
      <c r="X94" s="443">
        <v>0.5</v>
      </c>
      <c r="Y94" s="444"/>
      <c r="Z94" s="7"/>
      <c r="AA94" s="4"/>
      <c r="AB94" s="4"/>
      <c r="AC94" s="4"/>
      <c r="AD94" s="1"/>
      <c r="AF94" s="9"/>
      <c r="AX94" s="17"/>
      <c r="BA94" s="1"/>
      <c r="BB94" s="1"/>
      <c r="BC94" s="1"/>
      <c r="BD94" s="1"/>
      <c r="BE94" s="1"/>
      <c r="BF94" s="1"/>
      <c r="BG94" s="1"/>
      <c r="BH94" s="1"/>
      <c r="BI94" s="1"/>
      <c r="BJ94" s="1"/>
      <c r="BK94" s="1"/>
      <c r="BL94" s="1"/>
      <c r="BM94" s="1"/>
      <c r="BN94" s="1"/>
      <c r="BO94" s="1"/>
      <c r="BP94" s="1"/>
      <c r="BQ94" s="1"/>
      <c r="BR94" s="1"/>
      <c r="BS94" s="1"/>
      <c r="BT94" s="1"/>
      <c r="BU94" s="1"/>
      <c r="BV94" s="1"/>
      <c r="BW94" s="1"/>
      <c r="BX94" s="1"/>
      <c r="BY94" s="1"/>
    </row>
    <row r="95" spans="1:77" ht="15.75" customHeight="1" x14ac:dyDescent="0.55000000000000004">
      <c r="A95" s="54"/>
      <c r="B95" s="46"/>
      <c r="C95" s="45"/>
      <c r="D95" s="310"/>
      <c r="E95" s="310"/>
      <c r="F95" s="310"/>
      <c r="G95" s="310"/>
      <c r="H95" s="310"/>
      <c r="I95" s="310"/>
      <c r="J95" s="310"/>
      <c r="K95" s="310"/>
      <c r="L95" s="310"/>
      <c r="M95" s="310"/>
      <c r="N95" s="310"/>
      <c r="O95" s="310"/>
      <c r="X95" s="66"/>
      <c r="Y95" s="115"/>
      <c r="Z95" s="7"/>
      <c r="AA95" s="4"/>
      <c r="AB95" s="4"/>
      <c r="AC95" s="4"/>
      <c r="AD95" s="1"/>
      <c r="AF95" s="9"/>
      <c r="AX95" s="17"/>
      <c r="BA95" s="1"/>
      <c r="BB95" s="1"/>
      <c r="BC95" s="1"/>
      <c r="BD95" s="1"/>
      <c r="BE95" s="1"/>
      <c r="BF95" s="1"/>
      <c r="BG95" s="1"/>
      <c r="BH95" s="1"/>
      <c r="BI95" s="1"/>
      <c r="BJ95" s="1"/>
      <c r="BK95" s="1"/>
      <c r="BL95" s="1"/>
      <c r="BM95" s="1"/>
      <c r="BN95" s="1"/>
      <c r="BO95" s="1"/>
      <c r="BP95" s="1"/>
      <c r="BQ95" s="1"/>
      <c r="BR95" s="1"/>
      <c r="BS95" s="1"/>
      <c r="BT95" s="1"/>
      <c r="BU95" s="1"/>
      <c r="BV95" s="1"/>
      <c r="BW95" s="1"/>
      <c r="BX95" s="1"/>
      <c r="BY95" s="1"/>
    </row>
    <row r="96" spans="1:77" ht="15.75" customHeight="1" x14ac:dyDescent="0.55000000000000004">
      <c r="A96" s="54"/>
      <c r="B96" s="46"/>
      <c r="C96" s="45"/>
      <c r="D96" s="601" t="s">
        <v>326</v>
      </c>
      <c r="E96" s="601"/>
      <c r="F96" s="601"/>
      <c r="G96" s="601"/>
      <c r="H96" s="601"/>
      <c r="I96" s="601"/>
      <c r="J96" s="601"/>
      <c r="K96" s="601"/>
      <c r="L96" s="601"/>
      <c r="M96" s="601"/>
      <c r="N96" s="601"/>
      <c r="O96" s="601"/>
      <c r="P96" s="82" t="s">
        <v>282</v>
      </c>
      <c r="Q96" s="441" t="s">
        <v>274</v>
      </c>
      <c r="R96" s="441"/>
      <c r="S96" s="441"/>
      <c r="T96" s="441"/>
      <c r="U96" s="441"/>
      <c r="V96" s="441"/>
      <c r="W96" s="441"/>
      <c r="X96" s="481">
        <v>0</v>
      </c>
      <c r="Y96" s="482"/>
      <c r="Z96" s="7"/>
      <c r="AA96" s="4"/>
      <c r="AB96" s="4"/>
      <c r="AC96" s="4"/>
      <c r="AD96" s="1"/>
      <c r="AF96" s="9"/>
      <c r="AX96" s="17"/>
      <c r="BA96" s="1"/>
      <c r="BB96" s="1"/>
      <c r="BC96" s="1"/>
      <c r="BD96" s="1"/>
      <c r="BE96" s="1"/>
      <c r="BF96" s="1"/>
      <c r="BG96" s="1"/>
      <c r="BH96" s="1"/>
      <c r="BI96" s="1"/>
      <c r="BJ96" s="1"/>
      <c r="BK96" s="1"/>
      <c r="BL96" s="1"/>
      <c r="BM96" s="1"/>
      <c r="BN96" s="1"/>
      <c r="BO96" s="1"/>
      <c r="BP96" s="1"/>
      <c r="BQ96" s="1"/>
      <c r="BR96" s="1"/>
      <c r="BS96" s="1"/>
      <c r="BT96" s="1"/>
      <c r="BU96" s="1"/>
      <c r="BV96" s="1"/>
      <c r="BW96" s="1"/>
      <c r="BX96" s="1"/>
      <c r="BY96" s="1"/>
    </row>
    <row r="97" spans="1:77" ht="16.75" customHeight="1" x14ac:dyDescent="0.55000000000000004">
      <c r="A97" s="155"/>
      <c r="B97" s="60"/>
      <c r="C97" s="347" t="s">
        <v>120</v>
      </c>
      <c r="D97" s="348"/>
      <c r="E97" s="348"/>
      <c r="F97" s="348"/>
      <c r="G97" s="348"/>
      <c r="H97" s="348"/>
      <c r="I97" s="348"/>
      <c r="J97" s="348"/>
      <c r="K97" s="348"/>
      <c r="L97" s="348"/>
      <c r="M97" s="348"/>
      <c r="N97" s="348"/>
      <c r="O97" s="349"/>
      <c r="P97" s="461"/>
      <c r="Q97" s="462"/>
      <c r="R97" s="462"/>
      <c r="S97" s="462"/>
      <c r="T97" s="462"/>
      <c r="U97" s="462"/>
      <c r="V97" s="462"/>
      <c r="W97" s="462"/>
      <c r="X97" s="462"/>
      <c r="Y97" s="463"/>
      <c r="Z97" s="7"/>
      <c r="AA97" s="4"/>
      <c r="AB97" s="4"/>
      <c r="AC97" s="4"/>
      <c r="AD97" s="1"/>
      <c r="AF97" s="9"/>
      <c r="AG97" t="s">
        <v>200</v>
      </c>
      <c r="BA97" s="1"/>
      <c r="BB97" s="1"/>
      <c r="BC97" s="1"/>
      <c r="BD97" s="1"/>
      <c r="BE97" s="1"/>
      <c r="BF97" s="1"/>
      <c r="BG97" s="1"/>
      <c r="BH97" s="1"/>
      <c r="BI97" s="1"/>
      <c r="BJ97" s="1"/>
      <c r="BK97" s="1"/>
      <c r="BL97" s="1"/>
      <c r="BM97" s="1"/>
      <c r="BN97" s="1"/>
      <c r="BO97" s="1"/>
      <c r="BP97" s="1"/>
      <c r="BQ97" s="1"/>
      <c r="BR97" s="1"/>
      <c r="BS97" s="1"/>
      <c r="BT97" s="1"/>
      <c r="BU97" s="1"/>
      <c r="BV97" s="1"/>
      <c r="BW97" s="1"/>
      <c r="BX97" s="1"/>
      <c r="BY97" s="1"/>
    </row>
    <row r="98" spans="1:77" ht="16.75" customHeight="1" x14ac:dyDescent="0.55000000000000004">
      <c r="A98" s="54"/>
      <c r="B98" s="46"/>
      <c r="C98" s="45"/>
      <c r="D98" s="594" t="s">
        <v>327</v>
      </c>
      <c r="E98" s="594"/>
      <c r="F98" s="594"/>
      <c r="G98" s="594"/>
      <c r="H98" s="594"/>
      <c r="I98" s="594"/>
      <c r="J98" s="594"/>
      <c r="K98" s="594"/>
      <c r="L98" s="594"/>
      <c r="M98" s="594"/>
      <c r="N98" s="594"/>
      <c r="O98" s="595"/>
      <c r="P98" s="522" t="s">
        <v>50</v>
      </c>
      <c r="Q98" s="584"/>
      <c r="R98" s="584"/>
      <c r="S98" s="584"/>
      <c r="T98" s="584"/>
      <c r="U98" s="584"/>
      <c r="V98" s="584"/>
      <c r="W98" s="523"/>
      <c r="X98" s="522" t="s">
        <v>49</v>
      </c>
      <c r="Y98" s="584"/>
      <c r="Z98" s="7"/>
      <c r="AA98" s="4"/>
      <c r="AB98" s="4"/>
      <c r="AC98" s="4"/>
      <c r="AD98" s="1"/>
      <c r="AF98" s="9"/>
      <c r="AG98" t="s">
        <v>201</v>
      </c>
      <c r="BA98" s="1"/>
      <c r="BB98" s="1"/>
      <c r="BC98" s="1"/>
      <c r="BD98" s="1"/>
      <c r="BE98" s="1"/>
      <c r="BF98" s="1"/>
      <c r="BG98" s="1"/>
      <c r="BH98" s="1"/>
      <c r="BI98" s="1"/>
      <c r="BJ98" s="1"/>
      <c r="BK98" s="1"/>
      <c r="BL98" s="1"/>
      <c r="BM98" s="1"/>
      <c r="BN98" s="1"/>
      <c r="BO98" s="1"/>
      <c r="BP98" s="1"/>
      <c r="BQ98" s="1"/>
      <c r="BR98" s="1"/>
      <c r="BS98" s="1"/>
      <c r="BT98" s="1"/>
      <c r="BU98" s="1"/>
      <c r="BV98" s="1"/>
      <c r="BW98" s="1"/>
      <c r="BX98" s="1"/>
      <c r="BY98" s="1"/>
    </row>
    <row r="99" spans="1:77" ht="16.75" customHeight="1" x14ac:dyDescent="0.55000000000000004">
      <c r="A99" s="54"/>
      <c r="B99" s="46"/>
      <c r="C99" s="45"/>
      <c r="D99" s="596"/>
      <c r="E99" s="596"/>
      <c r="F99" s="596"/>
      <c r="G99" s="596"/>
      <c r="H99" s="596"/>
      <c r="I99" s="596"/>
      <c r="J99" s="596"/>
      <c r="K99" s="596"/>
      <c r="L99" s="596"/>
      <c r="M99" s="596"/>
      <c r="N99" s="596"/>
      <c r="O99" s="597"/>
      <c r="P99" s="598"/>
      <c r="Q99" s="599"/>
      <c r="R99" s="599"/>
      <c r="S99" s="599"/>
      <c r="T99" s="599"/>
      <c r="U99" s="599"/>
      <c r="V99" s="599"/>
      <c r="W99" s="600"/>
      <c r="X99" s="598"/>
      <c r="Y99" s="599"/>
      <c r="Z99" s="7"/>
      <c r="AA99" s="4"/>
      <c r="AB99" s="4"/>
      <c r="AC99" s="4"/>
      <c r="AD99" s="1"/>
      <c r="AF99" s="9"/>
      <c r="BA99" s="1"/>
      <c r="BB99" s="1"/>
      <c r="BC99" s="1"/>
      <c r="BD99" s="1"/>
      <c r="BE99" s="1"/>
      <c r="BF99" s="1"/>
      <c r="BG99" s="1"/>
      <c r="BH99" s="1"/>
      <c r="BI99" s="1"/>
      <c r="BJ99" s="1"/>
      <c r="BK99" s="1"/>
      <c r="BL99" s="1"/>
      <c r="BM99" s="1"/>
      <c r="BN99" s="1"/>
      <c r="BO99" s="1"/>
      <c r="BP99" s="1"/>
      <c r="BQ99" s="1"/>
      <c r="BR99" s="1"/>
      <c r="BS99" s="1"/>
      <c r="BT99" s="1"/>
      <c r="BU99" s="1"/>
      <c r="BV99" s="1"/>
      <c r="BW99" s="1"/>
      <c r="BX99" s="1"/>
      <c r="BY99" s="1"/>
    </row>
    <row r="100" spans="1:77" ht="16.75" customHeight="1" x14ac:dyDescent="0.55000000000000004">
      <c r="A100" s="54"/>
      <c r="B100" s="46"/>
      <c r="C100" s="45"/>
      <c r="D100" s="483" t="s">
        <v>329</v>
      </c>
      <c r="E100" s="483"/>
      <c r="F100" s="483"/>
      <c r="G100" s="483"/>
      <c r="H100" s="483"/>
      <c r="I100" s="483"/>
      <c r="J100" s="483"/>
      <c r="K100" s="483"/>
      <c r="L100" s="483"/>
      <c r="M100" s="483"/>
      <c r="N100" s="483"/>
      <c r="O100" s="483"/>
      <c r="P100" s="88" t="s">
        <v>280</v>
      </c>
      <c r="Q100" s="474" t="s">
        <v>312</v>
      </c>
      <c r="R100" s="474"/>
      <c r="S100" s="474"/>
      <c r="T100" s="474"/>
      <c r="U100" s="474"/>
      <c r="V100" s="474"/>
      <c r="W100" s="475"/>
      <c r="X100" s="343">
        <v>1</v>
      </c>
      <c r="Y100" s="330"/>
      <c r="Z100" s="7"/>
      <c r="AA100" s="4"/>
      <c r="AB100" s="4"/>
      <c r="AC100" s="4"/>
      <c r="AD100" s="1"/>
      <c r="AF100" s="9"/>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row>
    <row r="101" spans="1:77" ht="16.75" customHeight="1" x14ac:dyDescent="0.55000000000000004">
      <c r="A101" s="54"/>
      <c r="B101" s="46"/>
      <c r="C101" s="45"/>
      <c r="D101" s="483" t="s">
        <v>330</v>
      </c>
      <c r="E101" s="483"/>
      <c r="F101" s="483"/>
      <c r="G101" s="483"/>
      <c r="H101" s="483"/>
      <c r="I101" s="483"/>
      <c r="J101" s="483"/>
      <c r="K101" s="483"/>
      <c r="L101" s="483"/>
      <c r="M101" s="483"/>
      <c r="N101" s="483"/>
      <c r="O101" s="483"/>
      <c r="P101" s="95" t="s">
        <v>281</v>
      </c>
      <c r="Q101" s="441" t="s">
        <v>292</v>
      </c>
      <c r="R101" s="441"/>
      <c r="S101" s="441"/>
      <c r="T101" s="441"/>
      <c r="U101" s="441"/>
      <c r="V101" s="441"/>
      <c r="W101" s="442"/>
      <c r="X101" s="443">
        <v>0.5</v>
      </c>
      <c r="Y101" s="444"/>
      <c r="Z101" s="7"/>
      <c r="AA101" s="4"/>
      <c r="AB101" s="4"/>
      <c r="AC101" s="4"/>
      <c r="AD101" s="1"/>
      <c r="AF101" s="9"/>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row>
    <row r="102" spans="1:77" ht="16.75" customHeight="1" x14ac:dyDescent="0.55000000000000004">
      <c r="A102" s="54"/>
      <c r="B102" s="46"/>
      <c r="C102" s="45"/>
      <c r="D102" s="483" t="s">
        <v>331</v>
      </c>
      <c r="E102" s="483"/>
      <c r="F102" s="483"/>
      <c r="G102" s="483"/>
      <c r="H102" s="483"/>
      <c r="I102" s="483"/>
      <c r="J102" s="483"/>
      <c r="K102" s="483"/>
      <c r="L102" s="483"/>
      <c r="M102" s="483"/>
      <c r="N102" s="483"/>
      <c r="O102" s="483"/>
      <c r="P102" s="82" t="s">
        <v>282</v>
      </c>
      <c r="Q102" s="441" t="s">
        <v>274</v>
      </c>
      <c r="R102" s="441"/>
      <c r="S102" s="441"/>
      <c r="T102" s="441"/>
      <c r="U102" s="441"/>
      <c r="V102" s="441"/>
      <c r="W102" s="441"/>
      <c r="X102" s="443">
        <v>0</v>
      </c>
      <c r="Y102" s="444"/>
      <c r="Z102" s="7"/>
      <c r="AA102" s="4"/>
      <c r="AB102" s="4"/>
      <c r="AC102" s="4"/>
      <c r="AD102" s="1"/>
      <c r="AF102" s="9"/>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row>
    <row r="103" spans="1:77" ht="33" customHeight="1" x14ac:dyDescent="0.55000000000000004">
      <c r="A103" s="54"/>
      <c r="B103" s="46"/>
      <c r="C103" s="45"/>
      <c r="D103" s="591" t="s">
        <v>332</v>
      </c>
      <c r="E103" s="592"/>
      <c r="F103" s="592"/>
      <c r="G103" s="592"/>
      <c r="H103" s="592"/>
      <c r="I103" s="592"/>
      <c r="J103" s="592"/>
      <c r="K103" s="592"/>
      <c r="L103" s="592"/>
      <c r="M103" s="592"/>
      <c r="N103" s="592"/>
      <c r="O103" s="593"/>
      <c r="P103" s="478" t="s">
        <v>50</v>
      </c>
      <c r="Q103" s="478"/>
      <c r="R103" s="478"/>
      <c r="S103" s="478"/>
      <c r="T103" s="478"/>
      <c r="U103" s="478"/>
      <c r="V103" s="478"/>
      <c r="W103" s="478"/>
      <c r="X103" s="478" t="s">
        <v>49</v>
      </c>
      <c r="Y103" s="478"/>
      <c r="Z103" s="7"/>
      <c r="AA103" s="4"/>
      <c r="AB103" s="4"/>
      <c r="AC103" s="4"/>
      <c r="AD103" s="1"/>
      <c r="AF103" s="9"/>
      <c r="AG103" t="s">
        <v>202</v>
      </c>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row>
    <row r="104" spans="1:77" ht="14.25" customHeight="1" x14ac:dyDescent="0.55000000000000004">
      <c r="A104" s="54"/>
      <c r="B104" s="46"/>
      <c r="C104" s="45"/>
      <c r="D104" s="440" t="s">
        <v>313</v>
      </c>
      <c r="E104" s="590"/>
      <c r="F104" s="590"/>
      <c r="G104" s="590"/>
      <c r="H104" s="590"/>
      <c r="I104" s="590"/>
      <c r="J104" s="590"/>
      <c r="K104" s="590"/>
      <c r="L104" s="590"/>
      <c r="M104" s="590"/>
      <c r="N104" s="590"/>
      <c r="O104" s="309"/>
      <c r="P104" s="88" t="s">
        <v>280</v>
      </c>
      <c r="Q104" s="479" t="s">
        <v>312</v>
      </c>
      <c r="R104" s="479"/>
      <c r="S104" s="479"/>
      <c r="T104" s="479"/>
      <c r="U104" s="479"/>
      <c r="V104" s="479"/>
      <c r="W104" s="480"/>
      <c r="X104" s="343">
        <v>1</v>
      </c>
      <c r="Y104" s="330"/>
      <c r="Z104" s="7"/>
      <c r="AA104" s="4"/>
      <c r="AB104" s="4"/>
      <c r="AC104" s="4"/>
      <c r="AD104" s="1"/>
      <c r="AF104" s="9"/>
      <c r="AG104" t="s">
        <v>203</v>
      </c>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row>
    <row r="105" spans="1:77" ht="15.75" customHeight="1" x14ac:dyDescent="0.55000000000000004">
      <c r="A105" s="54"/>
      <c r="B105" s="46"/>
      <c r="C105" s="45"/>
      <c r="D105" s="324" t="s">
        <v>314</v>
      </c>
      <c r="E105" s="324"/>
      <c r="F105" s="324"/>
      <c r="G105" s="324"/>
      <c r="H105" s="324"/>
      <c r="I105" s="324"/>
      <c r="J105" s="324"/>
      <c r="K105" s="324"/>
      <c r="L105" s="324"/>
      <c r="M105" s="324"/>
      <c r="N105" s="324"/>
      <c r="O105" s="384"/>
      <c r="P105" s="112" t="s">
        <v>281</v>
      </c>
      <c r="Q105" s="441" t="s">
        <v>292</v>
      </c>
      <c r="R105" s="441"/>
      <c r="S105" s="441"/>
      <c r="T105" s="441"/>
      <c r="U105" s="441"/>
      <c r="V105" s="441"/>
      <c r="W105" s="442"/>
      <c r="X105" s="443">
        <v>0.5</v>
      </c>
      <c r="Y105" s="444"/>
      <c r="Z105" s="7"/>
      <c r="AA105" s="4"/>
      <c r="AB105" s="4"/>
      <c r="AC105" s="4"/>
      <c r="AD105" s="1"/>
      <c r="AF105" s="9"/>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row>
    <row r="106" spans="1:77" ht="15.75" customHeight="1" x14ac:dyDescent="0.55000000000000004">
      <c r="A106" s="54"/>
      <c r="B106" s="46"/>
      <c r="C106" s="45"/>
      <c r="D106" s="483" t="s">
        <v>333</v>
      </c>
      <c r="E106" s="483"/>
      <c r="F106" s="483"/>
      <c r="G106" s="483"/>
      <c r="H106" s="483"/>
      <c r="I106" s="483"/>
      <c r="J106" s="483"/>
      <c r="K106" s="483"/>
      <c r="L106" s="483"/>
      <c r="M106" s="483"/>
      <c r="N106" s="483"/>
      <c r="O106" s="483"/>
      <c r="P106" s="82" t="s">
        <v>282</v>
      </c>
      <c r="Q106" s="441" t="s">
        <v>274</v>
      </c>
      <c r="R106" s="441"/>
      <c r="S106" s="441"/>
      <c r="T106" s="441"/>
      <c r="U106" s="441"/>
      <c r="V106" s="441"/>
      <c r="W106" s="441"/>
      <c r="X106" s="443">
        <v>0</v>
      </c>
      <c r="Y106" s="444"/>
      <c r="Z106" s="7"/>
      <c r="AA106" s="4"/>
      <c r="AB106" s="4"/>
      <c r="AC106" s="4"/>
      <c r="AD106" s="1"/>
      <c r="AF106" s="9"/>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row>
    <row r="107" spans="1:77" ht="17.399999999999999" x14ac:dyDescent="0.55000000000000004">
      <c r="A107" s="155"/>
      <c r="B107" s="57"/>
      <c r="C107" s="467" t="s">
        <v>121</v>
      </c>
      <c r="D107" s="468"/>
      <c r="E107" s="468"/>
      <c r="F107" s="468"/>
      <c r="G107" s="468"/>
      <c r="H107" s="468"/>
      <c r="I107" s="468"/>
      <c r="J107" s="468"/>
      <c r="K107" s="468"/>
      <c r="L107" s="468"/>
      <c r="M107" s="468"/>
      <c r="N107" s="468"/>
      <c r="O107" s="469"/>
      <c r="P107" s="411" t="s">
        <v>50</v>
      </c>
      <c r="Q107" s="411"/>
      <c r="R107" s="411"/>
      <c r="S107" s="411"/>
      <c r="T107" s="411"/>
      <c r="U107" s="411"/>
      <c r="V107" s="411"/>
      <c r="W107" s="411"/>
      <c r="X107" s="411" t="s">
        <v>49</v>
      </c>
      <c r="Y107" s="411"/>
      <c r="Z107" s="7"/>
      <c r="AA107" s="4"/>
      <c r="AB107" s="4"/>
      <c r="AC107" s="4"/>
      <c r="AD107" s="1"/>
      <c r="AF107" s="10">
        <v>10</v>
      </c>
      <c r="AG107" s="10" t="s">
        <v>260</v>
      </c>
      <c r="AX107" s="17"/>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row>
    <row r="108" spans="1:77" ht="16.75" customHeight="1" x14ac:dyDescent="0.55000000000000004">
      <c r="A108" s="54"/>
      <c r="B108" s="47"/>
      <c r="C108" s="48"/>
      <c r="D108" s="470" t="s">
        <v>335</v>
      </c>
      <c r="E108" s="470"/>
      <c r="F108" s="470"/>
      <c r="G108" s="470"/>
      <c r="H108" s="470"/>
      <c r="I108" s="470"/>
      <c r="J108" s="470"/>
      <c r="K108" s="470"/>
      <c r="L108" s="470"/>
      <c r="M108" s="470"/>
      <c r="N108" s="470"/>
      <c r="O108" s="470"/>
      <c r="P108" s="109" t="s">
        <v>280</v>
      </c>
      <c r="Q108" s="358" t="s">
        <v>273</v>
      </c>
      <c r="R108" s="358"/>
      <c r="S108" s="358"/>
      <c r="T108" s="358"/>
      <c r="U108" s="358"/>
      <c r="V108" s="358"/>
      <c r="W108" s="358"/>
      <c r="X108" s="343">
        <v>1</v>
      </c>
      <c r="Y108" s="330"/>
      <c r="Z108" s="7"/>
      <c r="AA108" s="4"/>
      <c r="AB108" s="4"/>
      <c r="AC108" s="4"/>
      <c r="AD108" s="1"/>
      <c r="AF108" s="9"/>
      <c r="AG108" s="62" t="s">
        <v>206</v>
      </c>
      <c r="AX108" s="17"/>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row>
    <row r="109" spans="1:77" ht="16.75" customHeight="1" x14ac:dyDescent="0.55000000000000004">
      <c r="A109" s="54"/>
      <c r="B109" s="47"/>
      <c r="C109" s="48"/>
      <c r="D109" s="324" t="s">
        <v>336</v>
      </c>
      <c r="E109" s="324"/>
      <c r="F109" s="324"/>
      <c r="G109" s="324"/>
      <c r="H109" s="324"/>
      <c r="I109" s="324"/>
      <c r="J109" s="324"/>
      <c r="K109" s="324"/>
      <c r="L109" s="324"/>
      <c r="M109" s="324"/>
      <c r="N109" s="324"/>
      <c r="O109" s="384"/>
      <c r="P109" s="344" t="s">
        <v>281</v>
      </c>
      <c r="Q109" s="358" t="s">
        <v>292</v>
      </c>
      <c r="R109" s="358"/>
      <c r="S109" s="358"/>
      <c r="T109" s="358"/>
      <c r="U109" s="358"/>
      <c r="V109" s="358"/>
      <c r="W109" s="358"/>
      <c r="X109" s="344">
        <v>0.5</v>
      </c>
      <c r="Y109" s="332"/>
      <c r="Z109" s="7"/>
      <c r="AA109" s="4"/>
      <c r="AB109" s="4"/>
      <c r="AC109" s="4"/>
      <c r="AD109" s="1"/>
      <c r="AF109" s="9"/>
      <c r="AG109" s="62"/>
      <c r="AX109" s="17"/>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row>
    <row r="110" spans="1:77" ht="0.75" customHeight="1" x14ac:dyDescent="0.55000000000000004">
      <c r="A110" s="54"/>
      <c r="B110" s="47"/>
      <c r="C110" s="48"/>
      <c r="D110" s="326"/>
      <c r="E110" s="326"/>
      <c r="F110" s="326"/>
      <c r="G110" s="326"/>
      <c r="H110" s="326"/>
      <c r="I110" s="326"/>
      <c r="J110" s="326"/>
      <c r="K110" s="326"/>
      <c r="L110" s="326"/>
      <c r="M110" s="326"/>
      <c r="N110" s="326"/>
      <c r="O110" s="341"/>
      <c r="P110" s="344"/>
      <c r="Q110" s="358"/>
      <c r="R110" s="358"/>
      <c r="S110" s="358"/>
      <c r="T110" s="358"/>
      <c r="U110" s="358"/>
      <c r="V110" s="358"/>
      <c r="W110" s="358"/>
      <c r="X110" s="344"/>
      <c r="Y110" s="332"/>
      <c r="Z110" s="7"/>
      <c r="AA110" s="4"/>
      <c r="AB110" s="4"/>
      <c r="AC110" s="4"/>
      <c r="AD110" s="1"/>
      <c r="AF110" s="9"/>
      <c r="AG110" s="62"/>
      <c r="AX110" s="17"/>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row>
    <row r="111" spans="1:77" ht="16.75" customHeight="1" x14ac:dyDescent="0.55000000000000004">
      <c r="A111" s="54"/>
      <c r="B111" s="47"/>
      <c r="C111" s="48"/>
      <c r="D111" s="328"/>
      <c r="E111" s="328"/>
      <c r="F111" s="328"/>
      <c r="G111" s="328"/>
      <c r="H111" s="328"/>
      <c r="I111" s="328"/>
      <c r="J111" s="328"/>
      <c r="K111" s="328"/>
      <c r="L111" s="328"/>
      <c r="M111" s="328"/>
      <c r="N111" s="328"/>
      <c r="O111" s="342"/>
      <c r="P111" s="344"/>
      <c r="Q111" s="358"/>
      <c r="R111" s="358"/>
      <c r="S111" s="358"/>
      <c r="T111" s="358"/>
      <c r="U111" s="358"/>
      <c r="V111" s="358"/>
      <c r="W111" s="358"/>
      <c r="X111" s="344"/>
      <c r="Y111" s="332"/>
      <c r="Z111" s="7"/>
      <c r="AA111" s="4"/>
      <c r="AB111" s="4"/>
      <c r="AC111" s="4"/>
      <c r="AD111" s="1"/>
      <c r="AF111" s="9"/>
      <c r="AG111" s="62"/>
      <c r="AX111" s="17"/>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row>
    <row r="112" spans="1:77" ht="16.75" customHeight="1" x14ac:dyDescent="0.55000000000000004">
      <c r="A112" s="54"/>
      <c r="B112" s="47"/>
      <c r="C112" s="48"/>
      <c r="D112" s="394" t="s">
        <v>315</v>
      </c>
      <c r="E112" s="380"/>
      <c r="F112" s="380"/>
      <c r="G112" s="380"/>
      <c r="H112" s="380"/>
      <c r="I112" s="380"/>
      <c r="J112" s="380"/>
      <c r="K112" s="380"/>
      <c r="L112" s="380"/>
      <c r="M112" s="380"/>
      <c r="N112" s="380"/>
      <c r="O112" s="381"/>
      <c r="P112" s="113" t="s">
        <v>282</v>
      </c>
      <c r="Q112" s="441" t="s">
        <v>274</v>
      </c>
      <c r="R112" s="441"/>
      <c r="S112" s="441"/>
      <c r="T112" s="441"/>
      <c r="U112" s="441"/>
      <c r="V112" s="441"/>
      <c r="W112" s="441"/>
      <c r="X112" s="333">
        <v>0</v>
      </c>
      <c r="Y112" s="334"/>
      <c r="Z112" s="7"/>
      <c r="AA112" s="4"/>
      <c r="AB112" s="4"/>
      <c r="AC112" s="4"/>
      <c r="AD112" s="1"/>
      <c r="AF112" s="9"/>
      <c r="AG112" s="62"/>
      <c r="AX112" s="17"/>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row>
    <row r="113" spans="1:77" ht="16.75" customHeight="1" x14ac:dyDescent="0.55000000000000004">
      <c r="A113" s="155"/>
      <c r="B113" s="58"/>
      <c r="C113" s="449" t="s">
        <v>338</v>
      </c>
      <c r="D113" s="450"/>
      <c r="E113" s="450"/>
      <c r="F113" s="450"/>
      <c r="G113" s="450"/>
      <c r="H113" s="450"/>
      <c r="I113" s="450"/>
      <c r="J113" s="450"/>
      <c r="K113" s="450"/>
      <c r="L113" s="450"/>
      <c r="M113" s="450"/>
      <c r="N113" s="450"/>
      <c r="O113" s="451"/>
      <c r="P113" s="352" t="s">
        <v>50</v>
      </c>
      <c r="Q113" s="448"/>
      <c r="R113" s="448"/>
      <c r="S113" s="448"/>
      <c r="T113" s="448"/>
      <c r="U113" s="448"/>
      <c r="V113" s="448"/>
      <c r="W113" s="353"/>
      <c r="X113" s="352" t="s">
        <v>49</v>
      </c>
      <c r="Y113" s="353"/>
      <c r="Z113" s="7"/>
      <c r="AA113" s="4"/>
      <c r="AB113" s="4"/>
      <c r="AC113" s="4"/>
      <c r="AD113" s="1"/>
      <c r="AF113" s="9"/>
      <c r="AG113" s="62" t="s">
        <v>210</v>
      </c>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row>
    <row r="114" spans="1:77" ht="15.75" customHeight="1" x14ac:dyDescent="0.55000000000000004">
      <c r="A114" s="54"/>
      <c r="B114" s="47"/>
      <c r="C114" s="119"/>
      <c r="D114" s="324" t="s">
        <v>340</v>
      </c>
      <c r="E114" s="324"/>
      <c r="F114" s="324"/>
      <c r="G114" s="324"/>
      <c r="H114" s="324"/>
      <c r="I114" s="324"/>
      <c r="J114" s="324"/>
      <c r="K114" s="324"/>
      <c r="L114" s="324"/>
      <c r="M114" s="324"/>
      <c r="N114" s="324"/>
      <c r="O114" s="384"/>
      <c r="P114" s="120" t="s">
        <v>280</v>
      </c>
      <c r="Q114" s="456" t="s">
        <v>273</v>
      </c>
      <c r="R114" s="456"/>
      <c r="S114" s="456"/>
      <c r="T114" s="456"/>
      <c r="U114" s="456"/>
      <c r="V114" s="456"/>
      <c r="W114" s="457"/>
      <c r="X114" s="343">
        <v>1</v>
      </c>
      <c r="Y114" s="330"/>
      <c r="Z114" s="7"/>
      <c r="AA114" s="4"/>
      <c r="AB114" s="4"/>
      <c r="AC114" s="4"/>
      <c r="AD114" s="1"/>
      <c r="AF114" s="9"/>
      <c r="AG114" s="62"/>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row>
    <row r="115" spans="1:77" ht="15.75" customHeight="1" x14ac:dyDescent="0.55000000000000004">
      <c r="A115" s="54"/>
      <c r="B115" s="47"/>
      <c r="C115" s="48"/>
      <c r="D115" s="328"/>
      <c r="E115" s="328"/>
      <c r="F115" s="328"/>
      <c r="G115" s="328"/>
      <c r="H115" s="328"/>
      <c r="I115" s="328"/>
      <c r="J115" s="328"/>
      <c r="K115" s="328"/>
      <c r="L115" s="328"/>
      <c r="M115" s="328"/>
      <c r="N115" s="328"/>
      <c r="O115" s="342"/>
      <c r="P115" s="66"/>
      <c r="W115" s="115"/>
      <c r="X115" s="66"/>
      <c r="Y115" s="115"/>
      <c r="Z115" s="7"/>
      <c r="AA115" s="4"/>
      <c r="AB115" s="4"/>
      <c r="AC115" s="4"/>
      <c r="AD115" s="1"/>
      <c r="AF115" s="10">
        <v>11</v>
      </c>
      <c r="AG115" s="10" t="s">
        <v>261</v>
      </c>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row>
    <row r="116" spans="1:77" ht="15.75" customHeight="1" x14ac:dyDescent="0.55000000000000004">
      <c r="A116" s="54"/>
      <c r="B116" s="47"/>
      <c r="C116" s="48"/>
      <c r="D116" s="452" t="s">
        <v>341</v>
      </c>
      <c r="E116" s="452"/>
      <c r="F116" s="452"/>
      <c r="G116" s="452"/>
      <c r="H116" s="452"/>
      <c r="I116" s="452"/>
      <c r="J116" s="452"/>
      <c r="K116" s="452"/>
      <c r="L116" s="452"/>
      <c r="M116" s="452"/>
      <c r="N116" s="452"/>
      <c r="O116" s="453"/>
      <c r="P116" s="117" t="s">
        <v>281</v>
      </c>
      <c r="Q116" s="7" t="s">
        <v>292</v>
      </c>
      <c r="R116" s="7"/>
      <c r="S116" s="7"/>
      <c r="T116" s="7"/>
      <c r="U116" s="7"/>
      <c r="V116" s="7"/>
      <c r="W116" s="121"/>
      <c r="X116" s="344">
        <v>0.5</v>
      </c>
      <c r="Y116" s="332"/>
      <c r="Z116" s="7"/>
      <c r="AA116" s="4"/>
      <c r="AB116" s="4"/>
      <c r="AC116" s="4"/>
      <c r="AD116" s="1"/>
      <c r="AF116" s="10"/>
      <c r="AG116" s="10"/>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row>
    <row r="117" spans="1:77" ht="15.75" customHeight="1" x14ac:dyDescent="0.55000000000000004">
      <c r="A117" s="54"/>
      <c r="B117" s="47"/>
      <c r="C117" s="48"/>
      <c r="D117" s="454"/>
      <c r="E117" s="454"/>
      <c r="F117" s="454"/>
      <c r="G117" s="454"/>
      <c r="H117" s="454"/>
      <c r="I117" s="454"/>
      <c r="J117" s="454"/>
      <c r="K117" s="454"/>
      <c r="L117" s="454"/>
      <c r="M117" s="454"/>
      <c r="N117" s="454"/>
      <c r="O117" s="455"/>
      <c r="P117" s="117"/>
      <c r="Q117" s="7"/>
      <c r="R117" s="7"/>
      <c r="S117" s="7"/>
      <c r="T117" s="7"/>
      <c r="U117" s="7"/>
      <c r="V117" s="7"/>
      <c r="W117" s="121"/>
      <c r="X117" s="117"/>
      <c r="Y117" s="118"/>
      <c r="Z117" s="7"/>
      <c r="AA117" s="4"/>
      <c r="AB117" s="4"/>
      <c r="AC117" s="4"/>
      <c r="AD117" s="1"/>
      <c r="AF117" s="10"/>
      <c r="AG117" s="10"/>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row>
    <row r="118" spans="1:77" ht="15.75" customHeight="1" x14ac:dyDescent="0.55000000000000004">
      <c r="A118" s="54"/>
      <c r="B118" s="47"/>
      <c r="C118" s="48"/>
      <c r="D118" s="454"/>
      <c r="E118" s="454"/>
      <c r="F118" s="454"/>
      <c r="G118" s="454"/>
      <c r="H118" s="454"/>
      <c r="I118" s="454"/>
      <c r="J118" s="454"/>
      <c r="K118" s="454"/>
      <c r="L118" s="454"/>
      <c r="M118" s="454"/>
      <c r="N118" s="454"/>
      <c r="O118" s="455"/>
      <c r="P118" s="113" t="s">
        <v>282</v>
      </c>
      <c r="Q118" s="441" t="s">
        <v>274</v>
      </c>
      <c r="R118" s="441"/>
      <c r="S118" s="441"/>
      <c r="T118" s="441"/>
      <c r="U118" s="441"/>
      <c r="V118" s="441"/>
      <c r="W118" s="441"/>
      <c r="X118" s="344">
        <v>0</v>
      </c>
      <c r="Y118" s="332"/>
      <c r="Z118" s="7"/>
      <c r="AA118" s="4"/>
      <c r="AB118" s="4"/>
      <c r="AC118" s="4"/>
      <c r="AD118" s="1"/>
      <c r="AF118" s="10"/>
      <c r="AG118" s="10"/>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row>
    <row r="119" spans="1:77" ht="16.75" customHeight="1" x14ac:dyDescent="0.55000000000000004">
      <c r="A119" s="603" t="s">
        <v>90</v>
      </c>
      <c r="B119" s="547"/>
      <c r="C119" s="547"/>
      <c r="D119" s="547"/>
      <c r="E119" s="547"/>
      <c r="F119" s="547"/>
      <c r="G119" s="547"/>
      <c r="H119" s="547"/>
      <c r="I119" s="547"/>
      <c r="J119" s="547"/>
      <c r="K119" s="547"/>
      <c r="L119" s="547"/>
      <c r="M119" s="547"/>
      <c r="N119" s="547"/>
      <c r="O119" s="547"/>
      <c r="P119" s="547"/>
      <c r="Q119" s="547"/>
      <c r="R119" s="547"/>
      <c r="S119" s="547"/>
      <c r="T119" s="547"/>
      <c r="U119" s="547"/>
      <c r="V119" s="547"/>
      <c r="W119" s="547"/>
      <c r="X119" s="547"/>
      <c r="Y119" s="547"/>
      <c r="Z119" s="3"/>
      <c r="AA119" s="1"/>
      <c r="AB119" s="1"/>
      <c r="AC119" s="1"/>
      <c r="AD119" s="1"/>
      <c r="AF119" s="9"/>
      <c r="AG119" s="62" t="s">
        <v>214</v>
      </c>
      <c r="AX119" s="17"/>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row>
    <row r="120" spans="1:77" ht="15.75" customHeight="1" x14ac:dyDescent="0.55000000000000004">
      <c r="A120" s="131"/>
      <c r="B120" s="604" t="s">
        <v>91</v>
      </c>
      <c r="C120" s="604"/>
      <c r="D120" s="604"/>
      <c r="E120" s="604"/>
      <c r="F120" s="604"/>
      <c r="G120" s="604"/>
      <c r="H120" s="604"/>
      <c r="I120" s="604"/>
      <c r="J120" s="604"/>
      <c r="K120" s="604"/>
      <c r="L120" s="604"/>
      <c r="M120" s="604"/>
      <c r="N120" s="604"/>
      <c r="O120" s="604"/>
      <c r="P120" s="45"/>
      <c r="Q120" s="45"/>
      <c r="R120" s="45"/>
      <c r="S120" s="45"/>
      <c r="T120" s="45"/>
      <c r="U120" s="45"/>
      <c r="V120" s="45"/>
      <c r="W120" s="45"/>
      <c r="X120" s="45"/>
      <c r="Y120" s="45"/>
      <c r="Z120" s="3"/>
      <c r="AA120" s="1"/>
      <c r="AB120" s="1"/>
      <c r="AC120" s="1"/>
      <c r="AD120" s="1"/>
      <c r="AF120" s="9"/>
      <c r="AG120" s="62" t="s">
        <v>215</v>
      </c>
      <c r="AX120" s="17"/>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row>
    <row r="121" spans="1:77" ht="15.75" customHeight="1" x14ac:dyDescent="0.55000000000000004">
      <c r="A121" s="54"/>
      <c r="B121" s="46"/>
      <c r="C121" s="602" t="s">
        <v>345</v>
      </c>
      <c r="D121" s="602"/>
      <c r="E121" s="602"/>
      <c r="F121" s="602"/>
      <c r="G121" s="602"/>
      <c r="H121" s="602"/>
      <c r="I121" s="602"/>
      <c r="J121" s="602"/>
      <c r="K121" s="602"/>
      <c r="L121" s="602"/>
      <c r="M121" s="602"/>
      <c r="N121" s="602"/>
      <c r="O121" s="602"/>
      <c r="P121" s="432" t="s">
        <v>50</v>
      </c>
      <c r="Q121" s="432"/>
      <c r="R121" s="432"/>
      <c r="S121" s="432"/>
      <c r="T121" s="432"/>
      <c r="U121" s="432"/>
      <c r="V121" s="432"/>
      <c r="W121" s="433"/>
      <c r="X121" s="431" t="s">
        <v>49</v>
      </c>
      <c r="Y121" s="433"/>
      <c r="Z121" s="1"/>
      <c r="AA121" s="1"/>
      <c r="AB121" s="1"/>
      <c r="AC121" s="1"/>
      <c r="AD121" s="1"/>
      <c r="AF121" s="10">
        <v>12</v>
      </c>
      <c r="AG121" s="10" t="s">
        <v>262</v>
      </c>
      <c r="AX121" s="17"/>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row>
    <row r="122" spans="1:77" ht="15.75" customHeight="1" x14ac:dyDescent="0.55000000000000004">
      <c r="A122" s="54"/>
      <c r="B122" s="46"/>
      <c r="C122" s="50"/>
      <c r="D122" s="605" t="s">
        <v>342</v>
      </c>
      <c r="E122" s="605"/>
      <c r="F122" s="605"/>
      <c r="G122" s="605"/>
      <c r="H122" s="605"/>
      <c r="I122" s="605"/>
      <c r="J122" s="605"/>
      <c r="K122" s="605"/>
      <c r="L122" s="605"/>
      <c r="M122" s="605"/>
      <c r="N122" s="605"/>
      <c r="O122" s="605"/>
      <c r="P122" s="120" t="s">
        <v>280</v>
      </c>
      <c r="Q122" s="456" t="s">
        <v>273</v>
      </c>
      <c r="R122" s="456"/>
      <c r="S122" s="456"/>
      <c r="T122" s="456"/>
      <c r="U122" s="456"/>
      <c r="V122" s="456"/>
      <c r="W122" s="457"/>
      <c r="X122" s="343">
        <v>1</v>
      </c>
      <c r="Y122" s="330"/>
      <c r="Z122" s="1"/>
      <c r="AA122" s="1"/>
      <c r="AB122" s="1"/>
      <c r="AC122" s="1"/>
      <c r="AD122" s="1"/>
      <c r="AF122" s="10"/>
      <c r="AG122" s="10"/>
      <c r="AX122" s="17"/>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row>
    <row r="123" spans="1:77" ht="15.75" customHeight="1" x14ac:dyDescent="0.55000000000000004">
      <c r="A123" s="54"/>
      <c r="B123" s="46"/>
      <c r="C123" s="46"/>
      <c r="D123" s="310"/>
      <c r="E123" s="310"/>
      <c r="F123" s="310"/>
      <c r="G123" s="310"/>
      <c r="H123" s="310"/>
      <c r="I123" s="310"/>
      <c r="J123" s="310"/>
      <c r="K123" s="310"/>
      <c r="L123" s="310"/>
      <c r="M123" s="310"/>
      <c r="N123" s="310"/>
      <c r="O123" s="310"/>
      <c r="P123" s="66"/>
      <c r="W123" s="115"/>
      <c r="X123" s="66"/>
      <c r="Y123" s="115"/>
      <c r="Z123" s="1"/>
      <c r="AA123" s="1"/>
      <c r="AB123" s="1"/>
      <c r="AC123" s="1"/>
      <c r="AD123" s="1"/>
      <c r="AF123" s="9"/>
      <c r="AG123" s="62" t="s">
        <v>216</v>
      </c>
      <c r="AX123" s="17"/>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row>
    <row r="124" spans="1:77" ht="15.75" customHeight="1" x14ac:dyDescent="0.55000000000000004">
      <c r="A124" s="54"/>
      <c r="B124" s="46"/>
      <c r="C124" s="46"/>
      <c r="D124" s="476" t="s">
        <v>343</v>
      </c>
      <c r="E124" s="476"/>
      <c r="F124" s="476"/>
      <c r="G124" s="476"/>
      <c r="H124" s="476"/>
      <c r="I124" s="476"/>
      <c r="J124" s="476"/>
      <c r="K124" s="476"/>
      <c r="L124" s="476"/>
      <c r="M124" s="476"/>
      <c r="N124" s="476"/>
      <c r="O124" s="476"/>
      <c r="P124" s="117" t="s">
        <v>281</v>
      </c>
      <c r="Q124" s="358" t="s">
        <v>292</v>
      </c>
      <c r="R124" s="358"/>
      <c r="S124" s="358"/>
      <c r="T124" s="358"/>
      <c r="U124" s="358"/>
      <c r="V124" s="358"/>
      <c r="W124" s="359"/>
      <c r="X124" s="344">
        <v>0.5</v>
      </c>
      <c r="Y124" s="332"/>
      <c r="Z124" s="1"/>
      <c r="AA124" s="1"/>
      <c r="AB124" s="1"/>
      <c r="AC124" s="1"/>
      <c r="AD124" s="1"/>
      <c r="AF124" s="9"/>
      <c r="AG124" s="62" t="s">
        <v>217</v>
      </c>
      <c r="AX124" s="17"/>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row>
    <row r="125" spans="1:77" ht="15.75" customHeight="1" x14ac:dyDescent="0.55000000000000004">
      <c r="A125" s="54"/>
      <c r="B125" s="46"/>
      <c r="C125" s="46"/>
      <c r="D125" s="310" t="s">
        <v>344</v>
      </c>
      <c r="E125" s="310"/>
      <c r="F125" s="310"/>
      <c r="G125" s="310"/>
      <c r="H125" s="310"/>
      <c r="I125" s="310"/>
      <c r="J125" s="310"/>
      <c r="K125" s="310"/>
      <c r="L125" s="310"/>
      <c r="M125" s="310"/>
      <c r="N125" s="310"/>
      <c r="O125" s="310"/>
      <c r="P125" s="117"/>
      <c r="Q125" s="7"/>
      <c r="R125" s="7"/>
      <c r="S125" s="7"/>
      <c r="T125" s="7"/>
      <c r="U125" s="7"/>
      <c r="V125" s="7"/>
      <c r="W125" s="121"/>
      <c r="X125" s="117"/>
      <c r="Y125" s="118"/>
      <c r="Z125" s="1"/>
      <c r="AA125" s="1"/>
      <c r="AB125" s="1"/>
      <c r="AC125" s="1"/>
      <c r="AD125" s="1"/>
      <c r="AF125" s="9"/>
      <c r="AG125" s="62"/>
      <c r="AX125" s="17"/>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row>
    <row r="126" spans="1:77" ht="15.75" customHeight="1" x14ac:dyDescent="0.55000000000000004">
      <c r="A126" s="54"/>
      <c r="B126" s="46"/>
      <c r="C126" s="46"/>
      <c r="D126" s="310"/>
      <c r="E126" s="310"/>
      <c r="F126" s="310"/>
      <c r="G126" s="310"/>
      <c r="H126" s="310"/>
      <c r="I126" s="310"/>
      <c r="J126" s="310"/>
      <c r="K126" s="310"/>
      <c r="L126" s="310"/>
      <c r="M126" s="310"/>
      <c r="N126" s="310"/>
      <c r="O126" s="310"/>
      <c r="P126" s="100" t="s">
        <v>282</v>
      </c>
      <c r="Q126" s="441" t="s">
        <v>274</v>
      </c>
      <c r="R126" s="441"/>
      <c r="S126" s="441"/>
      <c r="T126" s="441"/>
      <c r="U126" s="441"/>
      <c r="V126" s="441"/>
      <c r="W126" s="441"/>
      <c r="X126" s="333">
        <v>0</v>
      </c>
      <c r="Y126" s="334"/>
      <c r="Z126" s="1"/>
      <c r="AA126" s="1"/>
      <c r="AB126" s="1"/>
      <c r="AC126" s="1"/>
      <c r="AD126" s="1"/>
      <c r="AF126" s="9"/>
      <c r="AG126" s="62"/>
      <c r="AX126" s="17"/>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row>
    <row r="127" spans="1:77" ht="15.75" customHeight="1" x14ac:dyDescent="0.55000000000000004">
      <c r="A127" s="54"/>
      <c r="B127" s="46"/>
      <c r="C127" s="602" t="s">
        <v>348</v>
      </c>
      <c r="D127" s="602"/>
      <c r="E127" s="602"/>
      <c r="F127" s="602"/>
      <c r="G127" s="602"/>
      <c r="H127" s="602"/>
      <c r="I127" s="602"/>
      <c r="J127" s="602"/>
      <c r="K127" s="602"/>
      <c r="L127" s="602"/>
      <c r="M127" s="602"/>
      <c r="N127" s="602"/>
      <c r="O127" s="602"/>
      <c r="P127" s="431" t="s">
        <v>50</v>
      </c>
      <c r="Q127" s="432"/>
      <c r="R127" s="432"/>
      <c r="S127" s="432"/>
      <c r="T127" s="432"/>
      <c r="U127" s="432"/>
      <c r="V127" s="432"/>
      <c r="W127" s="433"/>
      <c r="X127" s="431" t="s">
        <v>49</v>
      </c>
      <c r="Y127" s="433"/>
      <c r="Z127" s="1"/>
      <c r="AA127" s="1"/>
      <c r="AF127" s="9"/>
      <c r="AG127" s="62" t="s">
        <v>221</v>
      </c>
      <c r="AX127" s="17"/>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row>
    <row r="128" spans="1:77" ht="15.75" customHeight="1" x14ac:dyDescent="0.55000000000000004">
      <c r="A128" s="54"/>
      <c r="B128" s="46"/>
      <c r="C128" s="50"/>
      <c r="D128" s="375" t="s">
        <v>349</v>
      </c>
      <c r="E128" s="375"/>
      <c r="F128" s="375"/>
      <c r="G128" s="375"/>
      <c r="H128" s="375"/>
      <c r="I128" s="375"/>
      <c r="J128" s="375"/>
      <c r="K128" s="375"/>
      <c r="L128" s="375"/>
      <c r="M128" s="375"/>
      <c r="N128" s="375"/>
      <c r="O128" s="376"/>
      <c r="P128" s="64"/>
      <c r="Q128" s="72"/>
      <c r="R128" s="72"/>
      <c r="S128" s="72"/>
      <c r="T128" s="72"/>
      <c r="U128" s="72"/>
      <c r="V128" s="72"/>
      <c r="W128" s="73"/>
      <c r="X128" s="64"/>
      <c r="Y128" s="73"/>
      <c r="Z128" s="1"/>
      <c r="AA128" s="1"/>
      <c r="AF128" s="9"/>
      <c r="AG128" s="62" t="s">
        <v>222</v>
      </c>
      <c r="AX128" s="17"/>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row>
    <row r="129" spans="1:77" ht="15.75" customHeight="1" x14ac:dyDescent="0.55000000000000004">
      <c r="A129" s="54"/>
      <c r="B129" s="46"/>
      <c r="C129" s="50"/>
      <c r="D129" s="375"/>
      <c r="E129" s="375"/>
      <c r="F129" s="375"/>
      <c r="G129" s="375"/>
      <c r="H129" s="375"/>
      <c r="I129" s="375"/>
      <c r="J129" s="375"/>
      <c r="K129" s="375"/>
      <c r="L129" s="375"/>
      <c r="M129" s="375"/>
      <c r="N129" s="375"/>
      <c r="O129" s="376"/>
      <c r="P129" s="109" t="s">
        <v>280</v>
      </c>
      <c r="Q129" s="606" t="s">
        <v>273</v>
      </c>
      <c r="R129" s="606"/>
      <c r="S129" s="606"/>
      <c r="T129" s="606"/>
      <c r="U129" s="606"/>
      <c r="V129" s="606"/>
      <c r="W129" s="607"/>
      <c r="X129" s="344">
        <v>1</v>
      </c>
      <c r="Y129" s="332"/>
      <c r="Z129" s="1"/>
      <c r="AA129" s="1"/>
      <c r="AF129" s="9"/>
      <c r="AG129" s="62"/>
      <c r="AX129" s="17"/>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row>
    <row r="130" spans="1:77" ht="15.75" customHeight="1" x14ac:dyDescent="0.55000000000000004">
      <c r="A130" s="54"/>
      <c r="B130" s="46"/>
      <c r="C130" s="50"/>
      <c r="D130" s="354" t="s">
        <v>350</v>
      </c>
      <c r="E130" s="355"/>
      <c r="F130" s="355"/>
      <c r="G130" s="355"/>
      <c r="H130" s="355"/>
      <c r="I130" s="355"/>
      <c r="J130" s="355"/>
      <c r="K130" s="355"/>
      <c r="L130" s="355"/>
      <c r="M130" s="355"/>
      <c r="N130" s="355"/>
      <c r="O130" s="355"/>
      <c r="P130" s="66"/>
      <c r="Q130" s="125"/>
      <c r="R130" s="125"/>
      <c r="S130" s="125"/>
      <c r="T130" s="125"/>
      <c r="U130" s="125"/>
      <c r="V130" s="125"/>
      <c r="W130" s="126"/>
      <c r="X130" s="113"/>
      <c r="Y130" s="114"/>
      <c r="Z130" s="1"/>
      <c r="AA130" s="1"/>
      <c r="AF130" s="9"/>
      <c r="AG130" s="62"/>
      <c r="AX130" s="17"/>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row>
    <row r="131" spans="1:77" ht="15.75" customHeight="1" x14ac:dyDescent="0.55000000000000004">
      <c r="A131" s="54"/>
      <c r="B131" s="46"/>
      <c r="C131" s="46"/>
      <c r="D131" s="356"/>
      <c r="E131" s="357"/>
      <c r="F131" s="357"/>
      <c r="G131" s="357"/>
      <c r="H131" s="357"/>
      <c r="I131" s="357"/>
      <c r="J131" s="357"/>
      <c r="K131" s="357"/>
      <c r="L131" s="357"/>
      <c r="M131" s="357"/>
      <c r="N131" s="357"/>
      <c r="O131" s="357"/>
      <c r="P131" s="117" t="s">
        <v>281</v>
      </c>
      <c r="Q131" s="358" t="s">
        <v>292</v>
      </c>
      <c r="R131" s="358"/>
      <c r="S131" s="358"/>
      <c r="T131" s="358"/>
      <c r="U131" s="358"/>
      <c r="V131" s="358"/>
      <c r="W131" s="359"/>
      <c r="X131" s="344">
        <v>0.5</v>
      </c>
      <c r="Y131" s="332"/>
      <c r="Z131" s="1"/>
      <c r="AA131" s="1"/>
      <c r="AF131" s="9"/>
      <c r="AG131" s="62" t="s">
        <v>223</v>
      </c>
      <c r="AX131" s="17"/>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row>
    <row r="132" spans="1:77" ht="15.75" customHeight="1" x14ac:dyDescent="0.55000000000000004">
      <c r="A132" s="54"/>
      <c r="B132" s="46"/>
      <c r="C132" s="46"/>
      <c r="D132" s="354" t="s">
        <v>351</v>
      </c>
      <c r="E132" s="355"/>
      <c r="F132" s="355"/>
      <c r="G132" s="355"/>
      <c r="H132" s="355"/>
      <c r="I132" s="355"/>
      <c r="J132" s="355"/>
      <c r="K132" s="355"/>
      <c r="L132" s="355"/>
      <c r="M132" s="355"/>
      <c r="N132" s="355"/>
      <c r="O132" s="355"/>
      <c r="P132" s="66"/>
      <c r="W132" s="115"/>
      <c r="X132" s="66"/>
      <c r="Y132" s="115"/>
      <c r="Z132" s="1"/>
      <c r="AA132" s="1"/>
      <c r="AB132" s="1"/>
      <c r="AC132" s="1"/>
      <c r="AD132" s="1"/>
      <c r="AE132" s="1"/>
      <c r="AF132" s="9"/>
      <c r="AG132" s="62" t="s">
        <v>224</v>
      </c>
      <c r="AX132" s="17"/>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row>
    <row r="133" spans="1:77" ht="15.75" customHeight="1" x14ac:dyDescent="0.55000000000000004">
      <c r="A133" s="54"/>
      <c r="B133" s="46"/>
      <c r="C133" s="46"/>
      <c r="D133" s="398"/>
      <c r="E133" s="374"/>
      <c r="F133" s="374"/>
      <c r="G133" s="374"/>
      <c r="H133" s="374"/>
      <c r="I133" s="374"/>
      <c r="J133" s="374"/>
      <c r="K133" s="374"/>
      <c r="L133" s="374"/>
      <c r="M133" s="374"/>
      <c r="N133" s="374"/>
      <c r="O133" s="374"/>
      <c r="P133" s="113" t="s">
        <v>282</v>
      </c>
      <c r="Q133" s="441" t="s">
        <v>274</v>
      </c>
      <c r="R133" s="441"/>
      <c r="S133" s="441"/>
      <c r="T133" s="441"/>
      <c r="U133" s="441"/>
      <c r="V133" s="441"/>
      <c r="W133" s="441"/>
      <c r="X133" s="344">
        <v>0</v>
      </c>
      <c r="Y133" s="332"/>
      <c r="Z133" s="1"/>
      <c r="AF133" s="10">
        <v>13</v>
      </c>
      <c r="AG133" s="10" t="s">
        <v>263</v>
      </c>
      <c r="AX133" s="17"/>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row>
    <row r="134" spans="1:77" ht="15.75" customHeight="1" x14ac:dyDescent="0.55000000000000004">
      <c r="A134" s="54"/>
      <c r="B134" s="46"/>
      <c r="C134" s="46"/>
      <c r="D134" s="356"/>
      <c r="E134" s="357"/>
      <c r="F134" s="357"/>
      <c r="G134" s="357"/>
      <c r="H134" s="357"/>
      <c r="I134" s="357"/>
      <c r="J134" s="357"/>
      <c r="K134" s="357"/>
      <c r="L134" s="357"/>
      <c r="M134" s="357"/>
      <c r="N134" s="357"/>
      <c r="O134" s="357"/>
      <c r="P134" s="83"/>
      <c r="Q134" s="84"/>
      <c r="R134" s="84"/>
      <c r="S134" s="84"/>
      <c r="T134" s="84"/>
      <c r="U134" s="84"/>
      <c r="V134" s="84"/>
      <c r="W134" s="85"/>
      <c r="X134" s="83"/>
      <c r="Y134" s="85"/>
      <c r="Z134" s="1"/>
      <c r="AF134" s="10"/>
      <c r="AG134" s="10"/>
      <c r="AX134" s="17"/>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row>
    <row r="135" spans="1:77" ht="16.75" customHeight="1" x14ac:dyDescent="0.55000000000000004">
      <c r="A135" s="54"/>
      <c r="B135" s="612" t="s">
        <v>92</v>
      </c>
      <c r="C135" s="348"/>
      <c r="D135" s="348"/>
      <c r="E135" s="348"/>
      <c r="F135" s="348"/>
      <c r="G135" s="348"/>
      <c r="H135" s="348"/>
      <c r="I135" s="348"/>
      <c r="J135" s="348"/>
      <c r="K135" s="348"/>
      <c r="L135" s="348"/>
      <c r="M135" s="348"/>
      <c r="N135" s="348"/>
      <c r="O135" s="349"/>
      <c r="P135" s="352" t="s">
        <v>50</v>
      </c>
      <c r="Q135" s="448"/>
      <c r="R135" s="448"/>
      <c r="S135" s="448"/>
      <c r="T135" s="448"/>
      <c r="U135" s="448"/>
      <c r="V135" s="448"/>
      <c r="W135" s="353"/>
      <c r="X135" s="352" t="s">
        <v>49</v>
      </c>
      <c r="Y135" s="353"/>
      <c r="Z135" s="1"/>
      <c r="AF135" s="9"/>
      <c r="AG135" s="62" t="s">
        <v>225</v>
      </c>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row>
    <row r="136" spans="1:77" ht="15.75" customHeight="1" x14ac:dyDescent="0.55000000000000004">
      <c r="A136" s="54"/>
      <c r="B136" s="46"/>
      <c r="C136" s="310" t="s">
        <v>352</v>
      </c>
      <c r="D136" s="310"/>
      <c r="E136" s="310"/>
      <c r="F136" s="310"/>
      <c r="G136" s="310"/>
      <c r="H136" s="310"/>
      <c r="I136" s="310"/>
      <c r="J136" s="310"/>
      <c r="K136" s="310"/>
      <c r="L136" s="310"/>
      <c r="M136" s="310"/>
      <c r="N136" s="310"/>
      <c r="O136" s="310"/>
      <c r="P136" s="120" t="s">
        <v>280</v>
      </c>
      <c r="Q136" s="608" t="s">
        <v>273</v>
      </c>
      <c r="R136" s="608"/>
      <c r="S136" s="608"/>
      <c r="T136" s="608"/>
      <c r="U136" s="608"/>
      <c r="V136" s="608"/>
      <c r="W136" s="609"/>
      <c r="X136" s="343">
        <v>1</v>
      </c>
      <c r="Y136" s="330"/>
      <c r="Z136" s="1"/>
      <c r="AF136" s="9"/>
      <c r="AG136" s="62" t="s">
        <v>226</v>
      </c>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row>
    <row r="137" spans="1:77" ht="15.75" customHeight="1" x14ac:dyDescent="0.55000000000000004">
      <c r="A137" s="54"/>
      <c r="B137" s="46"/>
      <c r="C137" s="310"/>
      <c r="D137" s="310"/>
      <c r="E137" s="310"/>
      <c r="F137" s="310"/>
      <c r="G137" s="310"/>
      <c r="H137" s="310"/>
      <c r="I137" s="310"/>
      <c r="J137" s="310"/>
      <c r="K137" s="310"/>
      <c r="L137" s="310"/>
      <c r="M137" s="310"/>
      <c r="N137" s="310"/>
      <c r="O137" s="310"/>
      <c r="P137" s="109"/>
      <c r="Q137" s="125"/>
      <c r="R137" s="125"/>
      <c r="S137" s="125"/>
      <c r="T137" s="125"/>
      <c r="U137" s="125"/>
      <c r="V137" s="125"/>
      <c r="W137" s="126"/>
      <c r="X137" s="113"/>
      <c r="Y137" s="114"/>
      <c r="Z137" s="1"/>
      <c r="AF137" s="9"/>
      <c r="AG137" s="62"/>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row>
    <row r="138" spans="1:77" ht="15.75" customHeight="1" x14ac:dyDescent="0.55000000000000004">
      <c r="A138" s="54"/>
      <c r="B138" s="46"/>
      <c r="C138" s="323" t="s">
        <v>353</v>
      </c>
      <c r="D138" s="324"/>
      <c r="E138" s="324"/>
      <c r="F138" s="324"/>
      <c r="G138" s="324"/>
      <c r="H138" s="324"/>
      <c r="I138" s="324"/>
      <c r="J138" s="324"/>
      <c r="K138" s="324"/>
      <c r="L138" s="324"/>
      <c r="M138" s="324"/>
      <c r="N138" s="324"/>
      <c r="O138" s="324"/>
      <c r="P138" s="66"/>
      <c r="W138" s="115"/>
      <c r="X138" s="66"/>
      <c r="Y138" s="115"/>
      <c r="Z138" s="1"/>
      <c r="AF138" s="9"/>
      <c r="AG138" s="62"/>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row>
    <row r="139" spans="1:77" ht="15.75" customHeight="1" x14ac:dyDescent="0.55000000000000004">
      <c r="A139" s="54"/>
      <c r="B139" s="46"/>
      <c r="C139" s="327"/>
      <c r="D139" s="328"/>
      <c r="E139" s="328"/>
      <c r="F139" s="328"/>
      <c r="G139" s="328"/>
      <c r="H139" s="328"/>
      <c r="I139" s="328"/>
      <c r="J139" s="328"/>
      <c r="K139" s="328"/>
      <c r="L139" s="328"/>
      <c r="M139" s="328"/>
      <c r="N139" s="328"/>
      <c r="O139" s="328"/>
      <c r="P139" s="117" t="s">
        <v>281</v>
      </c>
      <c r="Q139" s="358" t="s">
        <v>292</v>
      </c>
      <c r="R139" s="358"/>
      <c r="S139" s="358"/>
      <c r="T139" s="358"/>
      <c r="U139" s="358"/>
      <c r="V139" s="358"/>
      <c r="W139" s="359"/>
      <c r="X139" s="344">
        <v>0.5</v>
      </c>
      <c r="Y139" s="332"/>
      <c r="Z139" s="1"/>
      <c r="AF139" s="9"/>
      <c r="AG139" s="62"/>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row>
    <row r="140" spans="1:77" ht="15.75" customHeight="1" x14ac:dyDescent="0.55000000000000004">
      <c r="A140" s="54"/>
      <c r="B140" s="46"/>
      <c r="C140" s="310" t="s">
        <v>354</v>
      </c>
      <c r="D140" s="310"/>
      <c r="E140" s="310"/>
      <c r="F140" s="310"/>
      <c r="G140" s="310"/>
      <c r="H140" s="310"/>
      <c r="I140" s="310"/>
      <c r="J140" s="310"/>
      <c r="K140" s="310"/>
      <c r="L140" s="310"/>
      <c r="M140" s="310"/>
      <c r="N140" s="310"/>
      <c r="O140" s="310"/>
      <c r="P140" s="109"/>
      <c r="Q140" s="125"/>
      <c r="R140" s="125"/>
      <c r="S140" s="125"/>
      <c r="T140" s="125"/>
      <c r="U140" s="125"/>
      <c r="V140" s="125"/>
      <c r="W140" s="126"/>
      <c r="X140" s="113"/>
      <c r="Y140" s="114"/>
      <c r="Z140" s="1"/>
      <c r="AF140" s="9"/>
      <c r="AG140" s="62"/>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row>
    <row r="141" spans="1:77" ht="15.75" customHeight="1" x14ac:dyDescent="0.55000000000000004">
      <c r="A141" s="54"/>
      <c r="B141" s="46"/>
      <c r="C141" s="310"/>
      <c r="D141" s="310"/>
      <c r="E141" s="310"/>
      <c r="F141" s="310"/>
      <c r="G141" s="310"/>
      <c r="H141" s="310"/>
      <c r="I141" s="310"/>
      <c r="J141" s="310"/>
      <c r="K141" s="310"/>
      <c r="L141" s="310"/>
      <c r="M141" s="310"/>
      <c r="N141" s="310"/>
      <c r="O141" s="310"/>
      <c r="P141" s="66"/>
      <c r="W141" s="115"/>
      <c r="X141" s="66"/>
      <c r="Y141" s="115"/>
      <c r="Z141" s="1"/>
      <c r="AF141" s="9"/>
      <c r="AG141" s="62"/>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row>
    <row r="142" spans="1:77" ht="15.75" customHeight="1" x14ac:dyDescent="0.55000000000000004">
      <c r="A142" s="54"/>
      <c r="B142" s="46"/>
      <c r="C142" s="310"/>
      <c r="D142" s="310"/>
      <c r="E142" s="310"/>
      <c r="F142" s="310"/>
      <c r="G142" s="310"/>
      <c r="H142" s="310"/>
      <c r="I142" s="310"/>
      <c r="J142" s="310"/>
      <c r="K142" s="310"/>
      <c r="L142" s="310"/>
      <c r="M142" s="310"/>
      <c r="N142" s="310"/>
      <c r="O142" s="310"/>
      <c r="P142" s="100" t="s">
        <v>282</v>
      </c>
      <c r="Q142" s="441" t="s">
        <v>274</v>
      </c>
      <c r="R142" s="441"/>
      <c r="S142" s="441"/>
      <c r="T142" s="441"/>
      <c r="U142" s="441"/>
      <c r="V142" s="441"/>
      <c r="W142" s="441"/>
      <c r="X142" s="333">
        <v>0</v>
      </c>
      <c r="Y142" s="334"/>
      <c r="Z142" s="1"/>
      <c r="AF142" s="9"/>
      <c r="AG142" s="62" t="s">
        <v>227</v>
      </c>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row>
    <row r="143" spans="1:77" ht="33.75" customHeight="1" x14ac:dyDescent="0.55000000000000004">
      <c r="A143" s="54"/>
      <c r="B143" s="458" t="s">
        <v>93</v>
      </c>
      <c r="C143" s="459"/>
      <c r="D143" s="459"/>
      <c r="E143" s="459"/>
      <c r="F143" s="459"/>
      <c r="G143" s="459"/>
      <c r="H143" s="459"/>
      <c r="I143" s="459"/>
      <c r="J143" s="459"/>
      <c r="K143" s="459"/>
      <c r="L143" s="459"/>
      <c r="M143" s="459"/>
      <c r="N143" s="459"/>
      <c r="O143" s="460"/>
      <c r="P143" s="461"/>
      <c r="Q143" s="462"/>
      <c r="R143" s="462"/>
      <c r="S143" s="462"/>
      <c r="T143" s="462"/>
      <c r="U143" s="462"/>
      <c r="V143" s="462"/>
      <c r="W143" s="462"/>
      <c r="X143" s="462"/>
      <c r="Y143" s="463"/>
      <c r="Z143" s="1"/>
      <c r="AA143" s="1"/>
      <c r="AB143" s="1"/>
      <c r="AC143" s="1"/>
      <c r="AD143" s="1"/>
      <c r="AE143" s="1"/>
      <c r="AF143" s="9"/>
      <c r="AG143" s="62" t="s">
        <v>230</v>
      </c>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row>
    <row r="144" spans="1:77" ht="30" customHeight="1" x14ac:dyDescent="0.55000000000000004">
      <c r="A144" s="54"/>
      <c r="B144" s="46"/>
      <c r="C144" s="591" t="s">
        <v>143</v>
      </c>
      <c r="D144" s="592"/>
      <c r="E144" s="592"/>
      <c r="F144" s="592"/>
      <c r="G144" s="592"/>
      <c r="H144" s="592"/>
      <c r="I144" s="592"/>
      <c r="J144" s="592"/>
      <c r="K144" s="592"/>
      <c r="L144" s="592"/>
      <c r="M144" s="592"/>
      <c r="N144" s="592"/>
      <c r="O144" s="593"/>
      <c r="P144" s="431" t="s">
        <v>50</v>
      </c>
      <c r="Q144" s="432"/>
      <c r="R144" s="432"/>
      <c r="S144" s="432"/>
      <c r="T144" s="432"/>
      <c r="U144" s="432"/>
      <c r="V144" s="432"/>
      <c r="W144" s="433"/>
      <c r="X144" s="431" t="s">
        <v>49</v>
      </c>
      <c r="Y144" s="433"/>
      <c r="Z144" s="1"/>
      <c r="AA144" s="1"/>
      <c r="AB144" s="1"/>
      <c r="AC144" s="1"/>
      <c r="AD144" s="1"/>
      <c r="AE144" s="1"/>
      <c r="AF144" s="9"/>
      <c r="AG144" s="62" t="s">
        <v>231</v>
      </c>
      <c r="AX144" s="17"/>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row>
    <row r="145" spans="1:77" ht="15.75" customHeight="1" x14ac:dyDescent="0.55000000000000004">
      <c r="A145" s="54"/>
      <c r="B145" s="46"/>
      <c r="C145" s="45"/>
      <c r="D145" s="310" t="s">
        <v>355</v>
      </c>
      <c r="E145" s="310"/>
      <c r="F145" s="310"/>
      <c r="G145" s="310"/>
      <c r="H145" s="310"/>
      <c r="I145" s="310"/>
      <c r="J145" s="310"/>
      <c r="K145" s="310"/>
      <c r="L145" s="310"/>
      <c r="M145" s="310"/>
      <c r="N145" s="310"/>
      <c r="O145" s="440"/>
      <c r="P145" s="134" t="s">
        <v>280</v>
      </c>
      <c r="Q145" s="132" t="s">
        <v>273</v>
      </c>
      <c r="R145" s="132"/>
      <c r="S145" s="132"/>
      <c r="T145" s="132"/>
      <c r="U145" s="132"/>
      <c r="V145" s="132"/>
      <c r="W145" s="133"/>
      <c r="X145" s="134">
        <v>1</v>
      </c>
      <c r="Y145" s="135"/>
      <c r="Z145" s="1"/>
      <c r="AA145" s="1"/>
      <c r="AB145" s="1"/>
      <c r="AC145" s="1"/>
      <c r="AD145" s="1"/>
      <c r="AE145" s="1"/>
      <c r="AF145" s="9"/>
      <c r="AG145" s="62"/>
      <c r="AX145" s="17"/>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row>
    <row r="146" spans="1:77" ht="15.75" customHeight="1" x14ac:dyDescent="0.55000000000000004">
      <c r="A146" s="54"/>
      <c r="B146" s="46"/>
      <c r="C146" s="45"/>
      <c r="D146" s="310"/>
      <c r="E146" s="310"/>
      <c r="F146" s="310"/>
      <c r="G146" s="310"/>
      <c r="H146" s="310"/>
      <c r="I146" s="310"/>
      <c r="J146" s="310"/>
      <c r="K146" s="310"/>
      <c r="L146" s="310"/>
      <c r="M146" s="310"/>
      <c r="N146" s="310"/>
      <c r="O146" s="440"/>
      <c r="P146" s="66"/>
      <c r="W146" s="115"/>
      <c r="X146" s="66"/>
      <c r="Y146" s="115"/>
      <c r="Z146" s="1"/>
      <c r="AA146" s="1"/>
      <c r="AB146" s="1"/>
      <c r="AC146" s="1"/>
      <c r="AD146" s="1"/>
      <c r="AE146" s="1"/>
      <c r="AF146" s="9"/>
      <c r="AG146" s="62"/>
      <c r="AX146" s="17"/>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row>
    <row r="147" spans="1:77" ht="15.75" customHeight="1" x14ac:dyDescent="0.55000000000000004">
      <c r="A147" s="54"/>
      <c r="B147" s="46"/>
      <c r="C147" s="45"/>
      <c r="D147" s="375" t="s">
        <v>356</v>
      </c>
      <c r="E147" s="375"/>
      <c r="F147" s="375"/>
      <c r="G147" s="375"/>
      <c r="H147" s="375"/>
      <c r="I147" s="375"/>
      <c r="J147" s="375"/>
      <c r="K147" s="375"/>
      <c r="L147" s="375"/>
      <c r="M147" s="375"/>
      <c r="N147" s="375"/>
      <c r="O147" s="376"/>
      <c r="P147" s="66"/>
      <c r="W147" s="115"/>
      <c r="X147" s="66"/>
      <c r="Y147" s="115"/>
      <c r="Z147" s="1"/>
      <c r="AA147" s="1"/>
      <c r="AB147" s="1"/>
      <c r="AC147" s="1"/>
      <c r="AD147" s="1"/>
      <c r="AE147" s="1"/>
      <c r="AF147" s="9"/>
      <c r="AG147" s="62"/>
      <c r="AX147" s="17"/>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row>
    <row r="148" spans="1:77" ht="15.75" customHeight="1" x14ac:dyDescent="0.55000000000000004">
      <c r="A148" s="54"/>
      <c r="B148" s="46"/>
      <c r="C148" s="45"/>
      <c r="D148" s="375"/>
      <c r="E148" s="375"/>
      <c r="F148" s="375"/>
      <c r="G148" s="375"/>
      <c r="H148" s="375"/>
      <c r="I148" s="375"/>
      <c r="J148" s="375"/>
      <c r="K148" s="375"/>
      <c r="L148" s="375"/>
      <c r="M148" s="375"/>
      <c r="N148" s="375"/>
      <c r="O148" s="376"/>
      <c r="P148" s="117" t="s">
        <v>281</v>
      </c>
      <c r="Q148" s="123" t="s">
        <v>292</v>
      </c>
      <c r="R148" s="123"/>
      <c r="S148" s="123"/>
      <c r="T148" s="123"/>
      <c r="U148" s="123"/>
      <c r="V148" s="123"/>
      <c r="W148" s="124"/>
      <c r="X148" s="344">
        <v>0.5</v>
      </c>
      <c r="Y148" s="332"/>
      <c r="Z148" s="1"/>
      <c r="AA148" s="1"/>
      <c r="AB148" s="1"/>
      <c r="AC148" s="1"/>
      <c r="AD148" s="1"/>
      <c r="AE148" s="1"/>
      <c r="AF148" s="9"/>
      <c r="AG148" s="62"/>
      <c r="AX148" s="17"/>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row>
    <row r="149" spans="1:77" ht="15.75" customHeight="1" x14ac:dyDescent="0.55000000000000004">
      <c r="A149" s="54"/>
      <c r="B149" s="46"/>
      <c r="C149" s="45"/>
      <c r="D149" s="375" t="s">
        <v>357</v>
      </c>
      <c r="E149" s="375"/>
      <c r="F149" s="375"/>
      <c r="G149" s="375"/>
      <c r="H149" s="375"/>
      <c r="I149" s="375"/>
      <c r="J149" s="375"/>
      <c r="K149" s="375"/>
      <c r="L149" s="375"/>
      <c r="M149" s="375"/>
      <c r="N149" s="375"/>
      <c r="O149" s="376"/>
      <c r="P149" s="66"/>
      <c r="W149" s="115"/>
      <c r="X149" s="66"/>
      <c r="Y149" s="115"/>
      <c r="Z149" s="1"/>
      <c r="AA149" s="1"/>
      <c r="AB149" s="1"/>
      <c r="AC149" s="1"/>
      <c r="AD149" s="1"/>
      <c r="AE149" s="1"/>
      <c r="AF149" s="9"/>
      <c r="AG149" s="62"/>
      <c r="AX149" s="17"/>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row>
    <row r="150" spans="1:77" ht="15.75" customHeight="1" x14ac:dyDescent="0.55000000000000004">
      <c r="A150" s="54"/>
      <c r="B150" s="46"/>
      <c r="C150" s="52"/>
      <c r="D150" s="610"/>
      <c r="E150" s="375"/>
      <c r="F150" s="375"/>
      <c r="G150" s="375"/>
      <c r="H150" s="375"/>
      <c r="I150" s="375"/>
      <c r="J150" s="375"/>
      <c r="K150" s="375"/>
      <c r="L150" s="375"/>
      <c r="M150" s="375"/>
      <c r="N150" s="375"/>
      <c r="O150" s="376"/>
      <c r="P150" s="66"/>
      <c r="W150" s="115"/>
      <c r="X150" s="66"/>
      <c r="Y150" s="115"/>
      <c r="Z150" s="1"/>
      <c r="AA150" s="1"/>
      <c r="AB150" s="1"/>
      <c r="AC150" s="1"/>
      <c r="AD150" s="1"/>
      <c r="AE150" s="1"/>
      <c r="AF150" s="9"/>
      <c r="AG150" s="62"/>
      <c r="AX150" s="17"/>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row>
    <row r="151" spans="1:77" ht="15.75" customHeight="1" x14ac:dyDescent="0.55000000000000004">
      <c r="A151" s="54"/>
      <c r="B151" s="46"/>
      <c r="C151" s="52"/>
      <c r="D151" s="375" t="s">
        <v>358</v>
      </c>
      <c r="E151" s="375"/>
      <c r="F151" s="375"/>
      <c r="G151" s="375"/>
      <c r="H151" s="375"/>
      <c r="I151" s="375"/>
      <c r="J151" s="375"/>
      <c r="K151" s="375"/>
      <c r="L151" s="375"/>
      <c r="M151" s="375"/>
      <c r="N151" s="375"/>
      <c r="O151" s="376"/>
      <c r="P151" s="113" t="s">
        <v>282</v>
      </c>
      <c r="Q151" s="441" t="s">
        <v>274</v>
      </c>
      <c r="R151" s="441"/>
      <c r="S151" s="441"/>
      <c r="T151" s="441"/>
      <c r="U151" s="441"/>
      <c r="V151" s="441"/>
      <c r="W151" s="441"/>
      <c r="X151" s="344">
        <v>0</v>
      </c>
      <c r="Y151" s="332"/>
      <c r="Z151" s="1"/>
      <c r="AA151" s="1"/>
      <c r="AB151" s="1"/>
      <c r="AC151" s="1"/>
      <c r="AD151" s="1"/>
      <c r="AE151" s="1"/>
      <c r="AF151" s="9"/>
      <c r="AG151" s="62"/>
      <c r="AX151" s="17"/>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row>
    <row r="152" spans="1:77" ht="15.75" customHeight="1" x14ac:dyDescent="0.55000000000000004">
      <c r="A152" s="54"/>
      <c r="B152" s="46"/>
      <c r="C152" s="52"/>
      <c r="D152" s="611"/>
      <c r="E152" s="611"/>
      <c r="F152" s="611"/>
      <c r="G152" s="611"/>
      <c r="H152" s="611"/>
      <c r="I152" s="611"/>
      <c r="J152" s="611"/>
      <c r="K152" s="611"/>
      <c r="L152" s="611"/>
      <c r="M152" s="611"/>
      <c r="N152" s="611"/>
      <c r="O152" s="354"/>
      <c r="P152" s="83"/>
      <c r="Q152" s="84"/>
      <c r="R152" s="84"/>
      <c r="S152" s="84"/>
      <c r="T152" s="84"/>
      <c r="U152" s="84"/>
      <c r="V152" s="84"/>
      <c r="W152" s="85"/>
      <c r="X152" s="83"/>
      <c r="Y152" s="85"/>
      <c r="Z152" s="1"/>
      <c r="AA152" s="1"/>
      <c r="AB152" s="1"/>
      <c r="AC152" s="1"/>
      <c r="AD152" s="1"/>
      <c r="AE152" s="1"/>
      <c r="AF152" s="9"/>
      <c r="AG152" s="62"/>
      <c r="AX152" s="17"/>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row>
    <row r="153" spans="1:77" ht="31.5" customHeight="1" x14ac:dyDescent="0.55000000000000004">
      <c r="A153" s="54"/>
      <c r="B153" s="46"/>
      <c r="C153" s="464" t="s">
        <v>359</v>
      </c>
      <c r="D153" s="465"/>
      <c r="E153" s="465"/>
      <c r="F153" s="465"/>
      <c r="G153" s="465"/>
      <c r="H153" s="465"/>
      <c r="I153" s="465"/>
      <c r="J153" s="465"/>
      <c r="K153" s="465"/>
      <c r="L153" s="465"/>
      <c r="M153" s="465"/>
      <c r="N153" s="465"/>
      <c r="O153" s="466"/>
      <c r="P153" s="431" t="s">
        <v>50</v>
      </c>
      <c r="Q153" s="432"/>
      <c r="R153" s="432"/>
      <c r="S153" s="432"/>
      <c r="T153" s="432"/>
      <c r="U153" s="432"/>
      <c r="V153" s="432"/>
      <c r="W153" s="433"/>
      <c r="X153" s="431" t="s">
        <v>49</v>
      </c>
      <c r="Y153" s="433"/>
      <c r="Z153" s="1"/>
      <c r="AB153" s="1"/>
      <c r="AC153" s="1"/>
      <c r="AD153" s="1"/>
      <c r="AF153" s="9"/>
      <c r="AG153" s="62" t="s">
        <v>232</v>
      </c>
      <c r="AX153" s="17"/>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row>
    <row r="154" spans="1:77" ht="15.75" customHeight="1" x14ac:dyDescent="0.55000000000000004">
      <c r="A154" s="54"/>
      <c r="B154" s="46"/>
      <c r="C154" s="52"/>
      <c r="D154" s="310" t="s">
        <v>360</v>
      </c>
      <c r="E154" s="310"/>
      <c r="F154" s="310"/>
      <c r="G154" s="310"/>
      <c r="H154" s="310"/>
      <c r="I154" s="310"/>
      <c r="J154" s="310"/>
      <c r="K154" s="310"/>
      <c r="L154" s="310"/>
      <c r="M154" s="310"/>
      <c r="N154" s="310"/>
      <c r="O154" s="310"/>
      <c r="P154" s="120" t="s">
        <v>280</v>
      </c>
      <c r="Q154" s="132" t="s">
        <v>273</v>
      </c>
      <c r="R154" s="132"/>
      <c r="S154" s="132"/>
      <c r="T154" s="132"/>
      <c r="U154" s="132"/>
      <c r="V154" s="132"/>
      <c r="W154" s="133"/>
      <c r="X154" s="343">
        <v>1</v>
      </c>
      <c r="Y154" s="330"/>
      <c r="Z154" s="1"/>
      <c r="AB154" s="1"/>
      <c r="AC154" s="1"/>
      <c r="AD154" s="1"/>
      <c r="AF154" s="9"/>
      <c r="AG154" s="62"/>
      <c r="AX154" s="17"/>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row>
    <row r="155" spans="1:77" ht="15.75" customHeight="1" x14ac:dyDescent="0.55000000000000004">
      <c r="A155" s="54"/>
      <c r="B155" s="46"/>
      <c r="C155" s="52"/>
      <c r="D155" s="310"/>
      <c r="E155" s="310"/>
      <c r="F155" s="310"/>
      <c r="G155" s="310"/>
      <c r="H155" s="310"/>
      <c r="I155" s="310"/>
      <c r="J155" s="310"/>
      <c r="K155" s="310"/>
      <c r="L155" s="310"/>
      <c r="M155" s="310"/>
      <c r="N155" s="310"/>
      <c r="O155" s="310"/>
      <c r="P155" s="66"/>
      <c r="W155" s="115"/>
      <c r="X155" s="66"/>
      <c r="Y155" s="115"/>
      <c r="Z155" s="1"/>
      <c r="AB155" s="1"/>
      <c r="AC155" s="1"/>
      <c r="AD155" s="1"/>
      <c r="AF155" s="9"/>
      <c r="AG155" s="62"/>
      <c r="AX155" s="17"/>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row>
    <row r="156" spans="1:77" ht="15.75" customHeight="1" x14ac:dyDescent="0.55000000000000004">
      <c r="A156" s="54"/>
      <c r="B156" s="46"/>
      <c r="C156" s="53"/>
      <c r="D156" s="310" t="s">
        <v>365</v>
      </c>
      <c r="E156" s="310"/>
      <c r="F156" s="310"/>
      <c r="G156" s="310"/>
      <c r="H156" s="310"/>
      <c r="I156" s="310"/>
      <c r="J156" s="310"/>
      <c r="K156" s="310"/>
      <c r="L156" s="310"/>
      <c r="M156" s="310"/>
      <c r="N156" s="310"/>
      <c r="O156" s="310"/>
      <c r="P156" s="66"/>
      <c r="W156" s="115"/>
      <c r="X156" s="66"/>
      <c r="Y156" s="115"/>
      <c r="Z156" s="1"/>
      <c r="AB156" s="1"/>
      <c r="AC156" s="1"/>
      <c r="AD156" s="1"/>
      <c r="AF156" s="9"/>
      <c r="AG156" s="62"/>
      <c r="AX156" s="17"/>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row>
    <row r="157" spans="1:77" ht="15.75" customHeight="1" x14ac:dyDescent="0.55000000000000004">
      <c r="A157" s="54"/>
      <c r="B157" s="46"/>
      <c r="C157" s="53"/>
      <c r="D157" s="310"/>
      <c r="E157" s="310"/>
      <c r="F157" s="310"/>
      <c r="G157" s="310"/>
      <c r="H157" s="310"/>
      <c r="I157" s="310"/>
      <c r="J157" s="310"/>
      <c r="K157" s="310"/>
      <c r="L157" s="310"/>
      <c r="M157" s="310"/>
      <c r="N157" s="310"/>
      <c r="O157" s="310"/>
      <c r="P157" s="117" t="s">
        <v>281</v>
      </c>
      <c r="Q157" s="358" t="s">
        <v>292</v>
      </c>
      <c r="R157" s="358"/>
      <c r="S157" s="358"/>
      <c r="T157" s="358"/>
      <c r="U157" s="358"/>
      <c r="V157" s="358"/>
      <c r="W157" s="359"/>
      <c r="X157" s="344">
        <v>0.5</v>
      </c>
      <c r="Y157" s="332"/>
      <c r="Z157" s="1"/>
      <c r="AB157" s="1"/>
      <c r="AC157" s="1"/>
      <c r="AD157" s="1"/>
      <c r="AF157" s="9"/>
      <c r="AG157" s="62"/>
      <c r="AX157" s="17"/>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row>
    <row r="158" spans="1:77" ht="15.75" customHeight="1" x14ac:dyDescent="0.55000000000000004">
      <c r="A158" s="54"/>
      <c r="B158" s="46"/>
      <c r="C158" s="52"/>
      <c r="D158" s="310"/>
      <c r="E158" s="310"/>
      <c r="F158" s="310"/>
      <c r="G158" s="310"/>
      <c r="H158" s="310"/>
      <c r="I158" s="310"/>
      <c r="J158" s="310"/>
      <c r="K158" s="310"/>
      <c r="L158" s="310"/>
      <c r="M158" s="310"/>
      <c r="N158" s="310"/>
      <c r="O158" s="310"/>
      <c r="P158" s="66"/>
      <c r="W158" s="115"/>
      <c r="X158" s="66"/>
      <c r="Y158" s="115"/>
      <c r="Z158" s="1"/>
      <c r="AB158" s="1"/>
      <c r="AC158" s="1"/>
      <c r="AD158" s="1"/>
      <c r="AF158" s="17"/>
      <c r="AG158" s="62" t="s">
        <v>233</v>
      </c>
      <c r="AX158" s="17"/>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row>
    <row r="159" spans="1:77" ht="15.75" customHeight="1" x14ac:dyDescent="0.55000000000000004">
      <c r="A159" s="54"/>
      <c r="B159" s="46"/>
      <c r="C159" s="52"/>
      <c r="D159" s="310"/>
      <c r="E159" s="310"/>
      <c r="F159" s="310"/>
      <c r="G159" s="310"/>
      <c r="H159" s="310"/>
      <c r="I159" s="310"/>
      <c r="J159" s="310"/>
      <c r="K159" s="310"/>
      <c r="L159" s="310"/>
      <c r="M159" s="310"/>
      <c r="N159" s="310"/>
      <c r="O159" s="310"/>
      <c r="P159" s="66"/>
      <c r="W159" s="115"/>
      <c r="X159" s="66"/>
      <c r="Y159" s="115"/>
      <c r="Z159" s="1"/>
      <c r="AB159" s="1"/>
      <c r="AC159" s="1"/>
      <c r="AD159" s="1"/>
      <c r="AF159" s="10">
        <v>14</v>
      </c>
      <c r="AG159" s="10" t="s">
        <v>264</v>
      </c>
      <c r="AX159" s="17"/>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row>
    <row r="160" spans="1:77" ht="15.75" customHeight="1" x14ac:dyDescent="0.55000000000000004">
      <c r="A160" s="54"/>
      <c r="B160" s="46"/>
      <c r="C160" s="45"/>
      <c r="D160" s="310" t="s">
        <v>366</v>
      </c>
      <c r="E160" s="310"/>
      <c r="F160" s="310"/>
      <c r="G160" s="310"/>
      <c r="H160" s="310"/>
      <c r="I160" s="310"/>
      <c r="J160" s="310"/>
      <c r="K160" s="310"/>
      <c r="L160" s="310"/>
      <c r="M160" s="310"/>
      <c r="N160" s="310"/>
      <c r="O160" s="310"/>
      <c r="P160" s="100" t="s">
        <v>282</v>
      </c>
      <c r="Q160" s="441" t="s">
        <v>274</v>
      </c>
      <c r="R160" s="441"/>
      <c r="S160" s="441"/>
      <c r="T160" s="441"/>
      <c r="U160" s="441"/>
      <c r="V160" s="441"/>
      <c r="W160" s="441"/>
      <c r="X160" s="333">
        <v>0</v>
      </c>
      <c r="Y160" s="334"/>
      <c r="Z160" s="1"/>
      <c r="AB160" s="1"/>
      <c r="AC160" s="1"/>
      <c r="AD160" s="1"/>
      <c r="AF160" s="17"/>
      <c r="AG160" s="62" t="s">
        <v>234</v>
      </c>
      <c r="AX160" s="17"/>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row>
    <row r="161" spans="1:77" ht="15.75" customHeight="1" x14ac:dyDescent="0.55000000000000004">
      <c r="A161" s="54"/>
      <c r="B161" s="46"/>
      <c r="C161" s="613" t="s">
        <v>361</v>
      </c>
      <c r="D161" s="592"/>
      <c r="E161" s="592"/>
      <c r="F161" s="592"/>
      <c r="G161" s="592"/>
      <c r="H161" s="592"/>
      <c r="I161" s="592"/>
      <c r="J161" s="592"/>
      <c r="K161" s="592"/>
      <c r="L161" s="592"/>
      <c r="M161" s="592"/>
      <c r="N161" s="592"/>
      <c r="O161" s="593"/>
      <c r="P161" s="431" t="s">
        <v>50</v>
      </c>
      <c r="Q161" s="432"/>
      <c r="R161" s="432"/>
      <c r="S161" s="432"/>
      <c r="T161" s="432"/>
      <c r="U161" s="432"/>
      <c r="V161" s="432"/>
      <c r="W161" s="433"/>
      <c r="X161" s="431" t="s">
        <v>49</v>
      </c>
      <c r="Y161" s="433"/>
      <c r="Z161" s="1"/>
      <c r="AB161" s="1"/>
      <c r="AC161" s="1"/>
      <c r="AD161" s="1"/>
      <c r="AF161" s="17"/>
      <c r="AG161" s="62"/>
      <c r="AX161" s="17"/>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row>
    <row r="162" spans="1:77" ht="15.75" customHeight="1" x14ac:dyDescent="0.55000000000000004">
      <c r="A162" s="54"/>
      <c r="B162" s="46"/>
      <c r="C162" s="45"/>
      <c r="D162" s="310" t="s">
        <v>362</v>
      </c>
      <c r="E162" s="310"/>
      <c r="F162" s="310"/>
      <c r="G162" s="310"/>
      <c r="H162" s="310"/>
      <c r="I162" s="310"/>
      <c r="J162" s="310"/>
      <c r="K162" s="310"/>
      <c r="L162" s="310"/>
      <c r="M162" s="310"/>
      <c r="N162" s="310"/>
      <c r="O162" s="310"/>
      <c r="P162" s="120" t="s">
        <v>280</v>
      </c>
      <c r="Q162" s="132" t="s">
        <v>273</v>
      </c>
      <c r="R162" s="132"/>
      <c r="S162" s="132"/>
      <c r="T162" s="132"/>
      <c r="U162" s="132"/>
      <c r="V162" s="132"/>
      <c r="W162" s="133"/>
      <c r="X162" s="343">
        <v>1</v>
      </c>
      <c r="Y162" s="330"/>
      <c r="Z162" s="1"/>
      <c r="AB162" s="1"/>
      <c r="AC162" s="1"/>
      <c r="AD162" s="1"/>
      <c r="AF162" s="17"/>
      <c r="AG162" s="62"/>
      <c r="AX162" s="17"/>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row>
    <row r="163" spans="1:77" ht="15.75" customHeight="1" x14ac:dyDescent="0.55000000000000004">
      <c r="A163" s="54"/>
      <c r="B163" s="46"/>
      <c r="C163" s="45"/>
      <c r="D163" s="310" t="s">
        <v>363</v>
      </c>
      <c r="E163" s="310"/>
      <c r="F163" s="310"/>
      <c r="G163" s="310"/>
      <c r="H163" s="310"/>
      <c r="I163" s="310"/>
      <c r="J163" s="310"/>
      <c r="K163" s="310"/>
      <c r="L163" s="310"/>
      <c r="M163" s="310"/>
      <c r="N163" s="310"/>
      <c r="O163" s="310"/>
      <c r="P163" s="117" t="s">
        <v>281</v>
      </c>
      <c r="Q163" s="358" t="s">
        <v>292</v>
      </c>
      <c r="R163" s="358"/>
      <c r="S163" s="358"/>
      <c r="T163" s="358"/>
      <c r="U163" s="358"/>
      <c r="V163" s="358"/>
      <c r="W163" s="359"/>
      <c r="X163" s="344">
        <v>0.5</v>
      </c>
      <c r="Y163" s="332"/>
      <c r="Z163" s="1"/>
      <c r="AB163" s="1"/>
      <c r="AC163" s="1"/>
      <c r="AD163" s="1"/>
      <c r="AF163" s="17"/>
      <c r="AG163" s="62"/>
      <c r="AX163" s="17"/>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row>
    <row r="164" spans="1:77" ht="15.75" customHeight="1" x14ac:dyDescent="0.55000000000000004">
      <c r="A164" s="54"/>
      <c r="B164" s="46"/>
      <c r="C164" s="45"/>
      <c r="D164" s="445" t="s">
        <v>364</v>
      </c>
      <c r="E164" s="446"/>
      <c r="F164" s="446"/>
      <c r="G164" s="446"/>
      <c r="H164" s="446"/>
      <c r="I164" s="446"/>
      <c r="J164" s="446"/>
      <c r="K164" s="446"/>
      <c r="L164" s="446"/>
      <c r="M164" s="446"/>
      <c r="N164" s="446"/>
      <c r="O164" s="447"/>
      <c r="P164" s="100" t="s">
        <v>282</v>
      </c>
      <c r="Q164" s="441" t="s">
        <v>274</v>
      </c>
      <c r="R164" s="441"/>
      <c r="S164" s="441"/>
      <c r="T164" s="441"/>
      <c r="U164" s="441"/>
      <c r="V164" s="441"/>
      <c r="W164" s="441"/>
      <c r="X164" s="333">
        <v>0</v>
      </c>
      <c r="Y164" s="334"/>
      <c r="Z164" s="1"/>
      <c r="AB164" s="1"/>
      <c r="AC164" s="1"/>
      <c r="AD164" s="1"/>
      <c r="AF164" s="17"/>
      <c r="AG164" s="62" t="s">
        <v>235</v>
      </c>
      <c r="AX164" s="17"/>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row>
    <row r="165" spans="1:77" ht="15.75" customHeight="1" x14ac:dyDescent="0.55000000000000004">
      <c r="A165" s="54"/>
      <c r="B165" s="407" t="s">
        <v>94</v>
      </c>
      <c r="C165" s="407"/>
      <c r="D165" s="407"/>
      <c r="E165" s="407"/>
      <c r="F165" s="407"/>
      <c r="G165" s="407"/>
      <c r="H165" s="407"/>
      <c r="I165" s="407"/>
      <c r="J165" s="407"/>
      <c r="K165" s="407"/>
      <c r="L165" s="407"/>
      <c r="M165" s="407"/>
      <c r="N165" s="407"/>
      <c r="O165" s="408"/>
      <c r="P165" s="347"/>
      <c r="Q165" s="348"/>
      <c r="R165" s="348"/>
      <c r="S165" s="348"/>
      <c r="T165" s="348"/>
      <c r="U165" s="348"/>
      <c r="V165" s="348"/>
      <c r="W165" s="348"/>
      <c r="X165" s="348"/>
      <c r="Y165" s="349"/>
      <c r="Z165" s="1"/>
      <c r="AB165" s="1"/>
      <c r="AC165" s="1"/>
      <c r="AD165" s="1"/>
      <c r="AF165" s="17"/>
      <c r="AG165" s="62" t="s">
        <v>238</v>
      </c>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row>
    <row r="166" spans="1:77" ht="15.75" customHeight="1" x14ac:dyDescent="0.55000000000000004">
      <c r="A166" s="54"/>
      <c r="B166" s="46"/>
      <c r="C166" s="465" t="s">
        <v>367</v>
      </c>
      <c r="D166" s="465"/>
      <c r="E166" s="465"/>
      <c r="F166" s="465"/>
      <c r="G166" s="465"/>
      <c r="H166" s="465"/>
      <c r="I166" s="465"/>
      <c r="J166" s="465"/>
      <c r="K166" s="465"/>
      <c r="L166" s="465"/>
      <c r="M166" s="465"/>
      <c r="N166" s="465"/>
      <c r="O166" s="466"/>
      <c r="P166" s="431" t="s">
        <v>50</v>
      </c>
      <c r="Q166" s="432"/>
      <c r="R166" s="432"/>
      <c r="S166" s="432"/>
      <c r="T166" s="432"/>
      <c r="U166" s="432"/>
      <c r="V166" s="432"/>
      <c r="W166" s="433"/>
      <c r="X166" s="431" t="s">
        <v>49</v>
      </c>
      <c r="Y166" s="433"/>
      <c r="Z166" s="1"/>
      <c r="AB166" s="1"/>
      <c r="AD166" s="1"/>
      <c r="AF166" s="17"/>
      <c r="AG166" s="62" t="s">
        <v>239</v>
      </c>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row>
    <row r="167" spans="1:77" ht="15.75" customHeight="1" x14ac:dyDescent="0.55000000000000004">
      <c r="A167" s="54"/>
      <c r="B167" s="46"/>
      <c r="C167" s="427"/>
      <c r="D167" s="427"/>
      <c r="E167" s="427"/>
      <c r="F167" s="427"/>
      <c r="G167" s="427"/>
      <c r="H167" s="427"/>
      <c r="I167" s="427"/>
      <c r="J167" s="427"/>
      <c r="K167" s="427"/>
      <c r="L167" s="427"/>
      <c r="M167" s="427"/>
      <c r="N167" s="427"/>
      <c r="O167" s="428"/>
      <c r="P167" s="434"/>
      <c r="Q167" s="435"/>
      <c r="R167" s="435"/>
      <c r="S167" s="435"/>
      <c r="T167" s="435"/>
      <c r="U167" s="435"/>
      <c r="V167" s="435"/>
      <c r="W167" s="436"/>
      <c r="X167" s="434"/>
      <c r="Y167" s="436"/>
      <c r="Z167" s="1"/>
      <c r="AB167" s="1"/>
      <c r="AD167" s="1"/>
      <c r="AF167" s="17"/>
      <c r="AG167" s="62"/>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row>
    <row r="168" spans="1:77" ht="15.75" customHeight="1" x14ac:dyDescent="0.55000000000000004">
      <c r="A168" s="54"/>
      <c r="B168" s="46"/>
      <c r="C168" s="427"/>
      <c r="D168" s="427"/>
      <c r="E168" s="427"/>
      <c r="F168" s="427"/>
      <c r="G168" s="427"/>
      <c r="H168" s="427"/>
      <c r="I168" s="427"/>
      <c r="J168" s="427"/>
      <c r="K168" s="427"/>
      <c r="L168" s="427"/>
      <c r="M168" s="427"/>
      <c r="N168" s="427"/>
      <c r="O168" s="428"/>
      <c r="P168" s="434"/>
      <c r="Q168" s="435"/>
      <c r="R168" s="435"/>
      <c r="S168" s="435"/>
      <c r="T168" s="435"/>
      <c r="U168" s="435"/>
      <c r="V168" s="435"/>
      <c r="W168" s="436"/>
      <c r="X168" s="434"/>
      <c r="Y168" s="436"/>
      <c r="Z168" s="1"/>
      <c r="AB168" s="1"/>
      <c r="AD168" s="1"/>
      <c r="AF168" s="17"/>
      <c r="AG168" s="62"/>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row>
    <row r="169" spans="1:77" ht="15.75" customHeight="1" x14ac:dyDescent="0.55000000000000004">
      <c r="A169" s="54"/>
      <c r="B169" s="46"/>
      <c r="C169" s="427"/>
      <c r="D169" s="429"/>
      <c r="E169" s="429"/>
      <c r="F169" s="429"/>
      <c r="G169" s="429"/>
      <c r="H169" s="429"/>
      <c r="I169" s="429"/>
      <c r="J169" s="429"/>
      <c r="K169" s="429"/>
      <c r="L169" s="429"/>
      <c r="M169" s="429"/>
      <c r="N169" s="429"/>
      <c r="O169" s="430"/>
      <c r="P169" s="437"/>
      <c r="Q169" s="438"/>
      <c r="R169" s="438"/>
      <c r="S169" s="438"/>
      <c r="T169" s="438"/>
      <c r="U169" s="438"/>
      <c r="V169" s="438"/>
      <c r="W169" s="439"/>
      <c r="X169" s="437"/>
      <c r="Y169" s="439"/>
      <c r="Z169" s="1"/>
      <c r="AB169" s="1"/>
      <c r="AD169" s="1"/>
      <c r="AF169" s="17"/>
      <c r="AG169" s="62"/>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row>
    <row r="170" spans="1:77" ht="15.75" customHeight="1" x14ac:dyDescent="0.55000000000000004">
      <c r="A170" s="54"/>
      <c r="B170" s="46"/>
      <c r="C170" s="53"/>
      <c r="D170" s="375" t="s">
        <v>369</v>
      </c>
      <c r="E170" s="375"/>
      <c r="F170" s="375"/>
      <c r="G170" s="375"/>
      <c r="H170" s="375"/>
      <c r="I170" s="375"/>
      <c r="J170" s="375"/>
      <c r="K170" s="375"/>
      <c r="L170" s="375"/>
      <c r="M170" s="375"/>
      <c r="N170" s="375"/>
      <c r="O170" s="376"/>
      <c r="P170" s="64"/>
      <c r="Q170" s="72"/>
      <c r="R170" s="72"/>
      <c r="S170" s="72"/>
      <c r="T170" s="72"/>
      <c r="U170" s="72"/>
      <c r="V170" s="72"/>
      <c r="W170" s="73"/>
      <c r="X170" s="64"/>
      <c r="Y170" s="73"/>
      <c r="Z170" s="1"/>
      <c r="AB170" s="1"/>
      <c r="AD170" s="1"/>
      <c r="AF170" s="17"/>
      <c r="AG170" s="62"/>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row>
    <row r="171" spans="1:77" ht="15.75" customHeight="1" x14ac:dyDescent="0.55000000000000004">
      <c r="A171" s="54"/>
      <c r="B171" s="46"/>
      <c r="C171" s="53" t="s">
        <v>72</v>
      </c>
      <c r="D171" s="375"/>
      <c r="E171" s="375"/>
      <c r="F171" s="375"/>
      <c r="G171" s="375"/>
      <c r="H171" s="375"/>
      <c r="I171" s="375"/>
      <c r="J171" s="375"/>
      <c r="K171" s="375"/>
      <c r="L171" s="375"/>
      <c r="M171" s="375"/>
      <c r="N171" s="375"/>
      <c r="O171" s="376"/>
      <c r="P171" s="109" t="s">
        <v>280</v>
      </c>
      <c r="Q171" s="136" t="s">
        <v>273</v>
      </c>
      <c r="R171" s="136"/>
      <c r="S171" s="136"/>
      <c r="T171" s="136"/>
      <c r="U171" s="136"/>
      <c r="V171" s="136"/>
      <c r="W171" s="144"/>
      <c r="X171" s="344">
        <v>1</v>
      </c>
      <c r="Y171" s="332"/>
      <c r="Z171" s="1"/>
      <c r="AB171" s="1"/>
      <c r="AD171" s="1"/>
      <c r="AF171" s="17"/>
      <c r="AG171" s="62"/>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row>
    <row r="172" spans="1:77" ht="15.75" customHeight="1" x14ac:dyDescent="0.55000000000000004">
      <c r="A172" s="54"/>
      <c r="B172" s="46"/>
      <c r="C172" s="53"/>
      <c r="D172" s="375"/>
      <c r="E172" s="375"/>
      <c r="F172" s="375"/>
      <c r="G172" s="375"/>
      <c r="H172" s="375"/>
      <c r="I172" s="375"/>
      <c r="J172" s="375"/>
      <c r="K172" s="375"/>
      <c r="L172" s="375"/>
      <c r="M172" s="375"/>
      <c r="N172" s="375"/>
      <c r="O172" s="376"/>
      <c r="P172" s="66"/>
      <c r="W172" s="115"/>
      <c r="X172" s="66"/>
      <c r="Y172" s="115"/>
      <c r="Z172" s="1"/>
      <c r="AB172" s="1"/>
      <c r="AD172" s="1"/>
      <c r="AF172" s="17"/>
      <c r="AG172" s="62"/>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row>
    <row r="173" spans="1:77" ht="15.75" customHeight="1" x14ac:dyDescent="0.55000000000000004">
      <c r="A173" s="54"/>
      <c r="B173" s="46"/>
      <c r="C173" s="53"/>
      <c r="D173" s="375"/>
      <c r="E173" s="375"/>
      <c r="F173" s="375"/>
      <c r="G173" s="375"/>
      <c r="H173" s="375"/>
      <c r="I173" s="375"/>
      <c r="J173" s="375"/>
      <c r="K173" s="375"/>
      <c r="L173" s="375"/>
      <c r="M173" s="375"/>
      <c r="N173" s="375"/>
      <c r="O173" s="376"/>
      <c r="P173" s="66"/>
      <c r="W173" s="115"/>
      <c r="X173" s="66"/>
      <c r="Y173" s="115"/>
      <c r="Z173" s="1"/>
      <c r="AB173" s="1"/>
      <c r="AD173" s="1"/>
      <c r="AF173" s="17"/>
      <c r="AG173" s="62"/>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row>
    <row r="174" spans="1:77" ht="15.75" customHeight="1" x14ac:dyDescent="0.55000000000000004">
      <c r="A174" s="54"/>
      <c r="B174" s="46"/>
      <c r="C174" s="53" t="s">
        <v>72</v>
      </c>
      <c r="D174" s="375" t="s">
        <v>370</v>
      </c>
      <c r="E174" s="375"/>
      <c r="F174" s="375"/>
      <c r="G174" s="375"/>
      <c r="H174" s="375"/>
      <c r="I174" s="375"/>
      <c r="J174" s="375"/>
      <c r="K174" s="375"/>
      <c r="L174" s="375"/>
      <c r="M174" s="375"/>
      <c r="N174" s="375"/>
      <c r="O174" s="376"/>
      <c r="P174" s="117" t="s">
        <v>281</v>
      </c>
      <c r="Q174" s="358" t="s">
        <v>374</v>
      </c>
      <c r="R174" s="358"/>
      <c r="S174" s="358"/>
      <c r="T174" s="358"/>
      <c r="U174" s="358"/>
      <c r="V174" s="358"/>
      <c r="W174" s="359"/>
      <c r="X174" s="344">
        <v>0.5</v>
      </c>
      <c r="Y174" s="332"/>
      <c r="Z174" s="1"/>
      <c r="AB174" s="1"/>
      <c r="AD174" s="1"/>
      <c r="AF174" s="17"/>
      <c r="AG174" s="62"/>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row>
    <row r="175" spans="1:77" ht="15.75" customHeight="1" x14ac:dyDescent="0.55000000000000004">
      <c r="A175" s="54"/>
      <c r="B175" s="46"/>
      <c r="C175" s="53"/>
      <c r="D175" s="375"/>
      <c r="E175" s="375"/>
      <c r="F175" s="375"/>
      <c r="G175" s="375"/>
      <c r="H175" s="375"/>
      <c r="I175" s="375"/>
      <c r="J175" s="375"/>
      <c r="K175" s="375"/>
      <c r="L175" s="375"/>
      <c r="M175" s="375"/>
      <c r="N175" s="375"/>
      <c r="O175" s="376"/>
      <c r="P175" s="66"/>
      <c r="W175" s="115"/>
      <c r="X175" s="66"/>
      <c r="Y175" s="115"/>
      <c r="Z175" s="1"/>
      <c r="AB175" s="1"/>
      <c r="AD175" s="1"/>
      <c r="AF175" s="17"/>
      <c r="AG175" s="62"/>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row>
    <row r="176" spans="1:77" ht="15.75" customHeight="1" x14ac:dyDescent="0.55000000000000004">
      <c r="A176" s="54"/>
      <c r="B176" s="46"/>
      <c r="C176" s="53"/>
      <c r="D176" s="375"/>
      <c r="E176" s="375"/>
      <c r="F176" s="375"/>
      <c r="G176" s="375"/>
      <c r="H176" s="375"/>
      <c r="I176" s="375"/>
      <c r="J176" s="375"/>
      <c r="K176" s="375"/>
      <c r="L176" s="375"/>
      <c r="M176" s="375"/>
      <c r="N176" s="375"/>
      <c r="O176" s="376"/>
      <c r="P176" s="66"/>
      <c r="W176" s="115"/>
      <c r="X176" s="66"/>
      <c r="Y176" s="115"/>
      <c r="Z176" s="1"/>
      <c r="AB176" s="1"/>
      <c r="AD176" s="1"/>
      <c r="AF176" s="17"/>
      <c r="AG176" s="62"/>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row>
    <row r="177" spans="1:77" ht="15.75" customHeight="1" x14ac:dyDescent="0.55000000000000004">
      <c r="A177" s="54"/>
      <c r="B177" s="46"/>
      <c r="C177" s="53" t="s">
        <v>72</v>
      </c>
      <c r="D177" s="375" t="s">
        <v>371</v>
      </c>
      <c r="E177" s="375"/>
      <c r="F177" s="375"/>
      <c r="G177" s="375"/>
      <c r="H177" s="375"/>
      <c r="I177" s="375"/>
      <c r="J177" s="375"/>
      <c r="K177" s="375"/>
      <c r="L177" s="375"/>
      <c r="M177" s="375"/>
      <c r="N177" s="375"/>
      <c r="O177" s="376"/>
      <c r="P177" s="113" t="s">
        <v>282</v>
      </c>
      <c r="Q177" s="358" t="s">
        <v>375</v>
      </c>
      <c r="R177" s="358"/>
      <c r="S177" s="358"/>
      <c r="T177" s="358"/>
      <c r="U177" s="358"/>
      <c r="V177" s="358"/>
      <c r="W177" s="359"/>
      <c r="X177" s="344">
        <v>0</v>
      </c>
      <c r="Y177" s="332"/>
      <c r="Z177" s="1"/>
      <c r="AB177" s="1"/>
      <c r="AD177" s="1"/>
      <c r="AF177" s="17"/>
      <c r="AG177" s="62"/>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row>
    <row r="178" spans="1:77" ht="15.75" customHeight="1" x14ac:dyDescent="0.55000000000000004">
      <c r="A178" s="54"/>
      <c r="B178" s="46"/>
      <c r="C178" s="53"/>
      <c r="D178" s="375"/>
      <c r="E178" s="375"/>
      <c r="F178" s="375"/>
      <c r="G178" s="375"/>
      <c r="H178" s="375"/>
      <c r="I178" s="375"/>
      <c r="J178" s="375"/>
      <c r="K178" s="375"/>
      <c r="L178" s="375"/>
      <c r="M178" s="375"/>
      <c r="N178" s="375"/>
      <c r="O178" s="376"/>
      <c r="P178" s="113"/>
      <c r="Q178" s="358"/>
      <c r="R178" s="358"/>
      <c r="S178" s="358"/>
      <c r="T178" s="358"/>
      <c r="U178" s="358"/>
      <c r="V178" s="358"/>
      <c r="W178" s="359"/>
      <c r="X178" s="344"/>
      <c r="Y178" s="332"/>
      <c r="Z178" s="1"/>
      <c r="AB178" s="1"/>
      <c r="AD178" s="1"/>
      <c r="AF178" s="17"/>
      <c r="AG178" s="62"/>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row>
    <row r="179" spans="1:77" ht="15.75" customHeight="1" x14ac:dyDescent="0.55000000000000004">
      <c r="A179" s="54"/>
      <c r="B179" s="46"/>
      <c r="C179" s="53"/>
      <c r="D179" s="375" t="s">
        <v>372</v>
      </c>
      <c r="E179" s="375"/>
      <c r="F179" s="375"/>
      <c r="G179" s="375"/>
      <c r="H179" s="375"/>
      <c r="I179" s="375"/>
      <c r="J179" s="375"/>
      <c r="K179" s="375"/>
      <c r="L179" s="375"/>
      <c r="M179" s="375"/>
      <c r="N179" s="375"/>
      <c r="O179" s="376"/>
      <c r="P179" s="66"/>
      <c r="W179" s="115"/>
      <c r="X179" s="66"/>
      <c r="Y179" s="115"/>
      <c r="Z179" s="1"/>
      <c r="AB179" s="1"/>
      <c r="AD179" s="1"/>
      <c r="AF179" s="17"/>
      <c r="AG179" s="62"/>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row>
    <row r="180" spans="1:77" ht="15.75" customHeight="1" x14ac:dyDescent="0.55000000000000004">
      <c r="A180" s="54"/>
      <c r="B180" s="46"/>
      <c r="C180" s="53" t="s">
        <v>13</v>
      </c>
      <c r="D180" s="375"/>
      <c r="E180" s="375"/>
      <c r="F180" s="375"/>
      <c r="G180" s="375"/>
      <c r="H180" s="375"/>
      <c r="I180" s="375"/>
      <c r="J180" s="375"/>
      <c r="K180" s="375"/>
      <c r="L180" s="375"/>
      <c r="M180" s="375"/>
      <c r="N180" s="375"/>
      <c r="O180" s="376"/>
      <c r="P180" s="113" t="s">
        <v>282</v>
      </c>
      <c r="Q180" s="358" t="s">
        <v>376</v>
      </c>
      <c r="R180" s="358"/>
      <c r="S180" s="358"/>
      <c r="T180" s="358"/>
      <c r="U180" s="358"/>
      <c r="V180" s="358"/>
      <c r="W180" s="359"/>
      <c r="X180" s="344">
        <v>0</v>
      </c>
      <c r="Y180" s="332"/>
      <c r="Z180" s="1"/>
      <c r="AB180" s="1"/>
      <c r="AD180" s="1"/>
      <c r="AF180" s="17"/>
      <c r="AG180" s="62"/>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row>
    <row r="181" spans="1:77" ht="15.75" customHeight="1" x14ac:dyDescent="0.55000000000000004">
      <c r="A181" s="54"/>
      <c r="B181" s="46"/>
      <c r="C181" s="53"/>
      <c r="D181" s="375"/>
      <c r="E181" s="375"/>
      <c r="F181" s="375"/>
      <c r="G181" s="375"/>
      <c r="H181" s="375"/>
      <c r="I181" s="375"/>
      <c r="J181" s="375"/>
      <c r="K181" s="375"/>
      <c r="L181" s="375"/>
      <c r="M181" s="375"/>
      <c r="N181" s="375"/>
      <c r="O181" s="376"/>
      <c r="P181" s="117"/>
      <c r="Q181" s="77"/>
      <c r="R181" s="77"/>
      <c r="S181" s="77"/>
      <c r="T181" s="77"/>
      <c r="U181" s="77"/>
      <c r="V181" s="77"/>
      <c r="W181" s="118"/>
      <c r="X181" s="117"/>
      <c r="Y181" s="118"/>
      <c r="Z181" s="1"/>
      <c r="AB181" s="1"/>
      <c r="AD181" s="1"/>
      <c r="AF181" s="17"/>
      <c r="AG181" s="62"/>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row>
    <row r="182" spans="1:77" ht="15.75" customHeight="1" x14ac:dyDescent="0.55000000000000004">
      <c r="A182" s="54"/>
      <c r="B182" s="46"/>
      <c r="C182" s="53"/>
      <c r="D182" s="375" t="s">
        <v>373</v>
      </c>
      <c r="E182" s="375"/>
      <c r="F182" s="375"/>
      <c r="G182" s="375"/>
      <c r="H182" s="375"/>
      <c r="I182" s="375"/>
      <c r="J182" s="375"/>
      <c r="K182" s="375"/>
      <c r="L182" s="375"/>
      <c r="M182" s="375"/>
      <c r="N182" s="375"/>
      <c r="O182" s="376"/>
      <c r="P182" s="66"/>
      <c r="W182" s="115"/>
      <c r="X182" s="66"/>
      <c r="Y182" s="115"/>
      <c r="Z182" s="1"/>
      <c r="AB182" s="1"/>
      <c r="AD182" s="1"/>
      <c r="AF182" s="17"/>
      <c r="AG182" s="62"/>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row>
    <row r="183" spans="1:77" ht="15.75" customHeight="1" x14ac:dyDescent="0.55000000000000004">
      <c r="A183" s="54"/>
      <c r="B183" s="46"/>
      <c r="C183" s="53" t="s">
        <v>13</v>
      </c>
      <c r="D183" s="375"/>
      <c r="E183" s="375"/>
      <c r="F183" s="375"/>
      <c r="G183" s="375"/>
      <c r="H183" s="375"/>
      <c r="I183" s="375"/>
      <c r="J183" s="375"/>
      <c r="K183" s="375"/>
      <c r="L183" s="375"/>
      <c r="M183" s="375"/>
      <c r="N183" s="375"/>
      <c r="O183" s="376"/>
      <c r="P183" s="113" t="s">
        <v>282</v>
      </c>
      <c r="Q183" s="441" t="s">
        <v>274</v>
      </c>
      <c r="R183" s="441"/>
      <c r="S183" s="441"/>
      <c r="T183" s="441"/>
      <c r="U183" s="441"/>
      <c r="V183" s="441"/>
      <c r="W183" s="442"/>
      <c r="X183" s="344">
        <v>0</v>
      </c>
      <c r="Y183" s="332"/>
      <c r="Z183" s="1"/>
      <c r="AB183" s="1"/>
      <c r="AD183" s="1"/>
      <c r="AF183" s="17"/>
      <c r="AG183" s="62"/>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row>
    <row r="184" spans="1:77" ht="15.75" customHeight="1" x14ac:dyDescent="0.55000000000000004">
      <c r="A184" s="54"/>
      <c r="B184" s="46"/>
      <c r="C184" s="52"/>
      <c r="D184" s="375"/>
      <c r="E184" s="375"/>
      <c r="F184" s="375"/>
      <c r="G184" s="375"/>
      <c r="H184" s="375"/>
      <c r="I184" s="375"/>
      <c r="J184" s="375"/>
      <c r="K184" s="375"/>
      <c r="L184" s="375"/>
      <c r="M184" s="375"/>
      <c r="N184" s="375"/>
      <c r="O184" s="376"/>
      <c r="P184" s="137"/>
      <c r="Q184" s="138"/>
      <c r="R184" s="139"/>
      <c r="S184" s="140"/>
      <c r="T184" s="140"/>
      <c r="U184" s="141"/>
      <c r="V184" s="141"/>
      <c r="W184" s="142"/>
      <c r="X184" s="143"/>
      <c r="Y184" s="142"/>
      <c r="Z184" s="1"/>
      <c r="AB184" s="1"/>
      <c r="AC184" s="1"/>
      <c r="AD184" s="1"/>
      <c r="AF184" s="17"/>
      <c r="AG184" s="62" t="s">
        <v>240</v>
      </c>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row>
    <row r="185" spans="1:77" ht="15.75" customHeight="1" x14ac:dyDescent="0.55000000000000004">
      <c r="A185" s="54"/>
      <c r="B185" s="46"/>
      <c r="C185" s="427" t="s">
        <v>377</v>
      </c>
      <c r="D185" s="427"/>
      <c r="E185" s="427"/>
      <c r="F185" s="427"/>
      <c r="G185" s="427"/>
      <c r="H185" s="427"/>
      <c r="I185" s="427"/>
      <c r="J185" s="427"/>
      <c r="K185" s="427"/>
      <c r="L185" s="427"/>
      <c r="M185" s="427"/>
      <c r="N185" s="427"/>
      <c r="O185" s="428"/>
      <c r="P185" s="431" t="s">
        <v>50</v>
      </c>
      <c r="Q185" s="432"/>
      <c r="R185" s="432"/>
      <c r="S185" s="432"/>
      <c r="T185" s="432"/>
      <c r="U185" s="432"/>
      <c r="V185" s="432"/>
      <c r="W185" s="433"/>
      <c r="X185" s="431" t="s">
        <v>49</v>
      </c>
      <c r="Y185" s="433"/>
      <c r="Z185" s="1"/>
      <c r="AB185" s="1"/>
      <c r="AC185" s="1"/>
      <c r="AD185" s="1"/>
      <c r="AF185" s="17"/>
      <c r="AG185" s="62"/>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row>
    <row r="186" spans="1:77" ht="15.75" customHeight="1" x14ac:dyDescent="0.55000000000000004">
      <c r="A186" s="54"/>
      <c r="B186" s="46"/>
      <c r="C186" s="427"/>
      <c r="D186" s="427"/>
      <c r="E186" s="427"/>
      <c r="F186" s="427"/>
      <c r="G186" s="427"/>
      <c r="H186" s="427"/>
      <c r="I186" s="427"/>
      <c r="J186" s="427"/>
      <c r="K186" s="427"/>
      <c r="L186" s="427"/>
      <c r="M186" s="427"/>
      <c r="N186" s="427"/>
      <c r="O186" s="428"/>
      <c r="P186" s="434"/>
      <c r="Q186" s="435"/>
      <c r="R186" s="435"/>
      <c r="S186" s="435"/>
      <c r="T186" s="435"/>
      <c r="U186" s="435"/>
      <c r="V186" s="435"/>
      <c r="W186" s="436"/>
      <c r="X186" s="434"/>
      <c r="Y186" s="436"/>
      <c r="Z186" s="1"/>
      <c r="AB186" s="1"/>
      <c r="AC186" s="1"/>
      <c r="AD186" s="1"/>
      <c r="AF186" s="17"/>
      <c r="AG186" s="62"/>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row>
    <row r="187" spans="1:77" ht="15.75" customHeight="1" x14ac:dyDescent="0.55000000000000004">
      <c r="A187" s="54"/>
      <c r="B187" s="46"/>
      <c r="C187" s="427"/>
      <c r="D187" s="429"/>
      <c r="E187" s="429"/>
      <c r="F187" s="429"/>
      <c r="G187" s="429"/>
      <c r="H187" s="429"/>
      <c r="I187" s="429"/>
      <c r="J187" s="429"/>
      <c r="K187" s="429"/>
      <c r="L187" s="429"/>
      <c r="M187" s="429"/>
      <c r="N187" s="429"/>
      <c r="O187" s="430"/>
      <c r="P187" s="437"/>
      <c r="Q187" s="438"/>
      <c r="R187" s="438"/>
      <c r="S187" s="438"/>
      <c r="T187" s="438"/>
      <c r="U187" s="438"/>
      <c r="V187" s="438"/>
      <c r="W187" s="439"/>
      <c r="X187" s="434"/>
      <c r="Y187" s="436"/>
      <c r="Z187" s="1"/>
      <c r="AB187" s="1"/>
      <c r="AC187" s="1"/>
      <c r="AD187" s="1"/>
      <c r="AF187" s="17"/>
      <c r="AG187" s="62" t="s">
        <v>241</v>
      </c>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row>
    <row r="188" spans="1:77" ht="15.75" customHeight="1" x14ac:dyDescent="0.55000000000000004">
      <c r="A188" s="54"/>
      <c r="B188" s="46"/>
      <c r="C188" s="145"/>
      <c r="D188" s="310" t="s">
        <v>378</v>
      </c>
      <c r="E188" s="310"/>
      <c r="F188" s="310"/>
      <c r="G188" s="310"/>
      <c r="H188" s="310"/>
      <c r="I188" s="310"/>
      <c r="J188" s="310"/>
      <c r="K188" s="310"/>
      <c r="L188" s="310"/>
      <c r="M188" s="310"/>
      <c r="N188" s="310"/>
      <c r="O188" s="440"/>
      <c r="P188" s="120" t="s">
        <v>280</v>
      </c>
      <c r="Q188" s="132" t="s">
        <v>273</v>
      </c>
      <c r="R188" s="132"/>
      <c r="S188" s="132"/>
      <c r="T188" s="132"/>
      <c r="U188" s="132"/>
      <c r="V188" s="132"/>
      <c r="W188" s="133"/>
      <c r="X188" s="343">
        <v>1</v>
      </c>
      <c r="Y188" s="330"/>
      <c r="Z188" s="1"/>
      <c r="AB188" s="1"/>
      <c r="AC188" s="1"/>
      <c r="AD188" s="1"/>
      <c r="AF188" s="17"/>
      <c r="AG188" s="62"/>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row>
    <row r="189" spans="1:77" ht="15.75" customHeight="1" x14ac:dyDescent="0.55000000000000004">
      <c r="A189" s="54"/>
      <c r="B189" s="46"/>
      <c r="C189" s="145"/>
      <c r="D189" s="310"/>
      <c r="E189" s="310"/>
      <c r="F189" s="310"/>
      <c r="G189" s="310"/>
      <c r="H189" s="310"/>
      <c r="I189" s="310"/>
      <c r="J189" s="310"/>
      <c r="K189" s="310"/>
      <c r="L189" s="310"/>
      <c r="M189" s="310"/>
      <c r="N189" s="310"/>
      <c r="O189" s="440"/>
      <c r="P189" s="344" t="s">
        <v>281</v>
      </c>
      <c r="Q189" s="358" t="s">
        <v>292</v>
      </c>
      <c r="R189" s="358"/>
      <c r="S189" s="358"/>
      <c r="T189" s="358"/>
      <c r="U189" s="358"/>
      <c r="V189" s="358"/>
      <c r="W189" s="359"/>
      <c r="X189" s="344">
        <v>0.5</v>
      </c>
      <c r="Y189" s="332"/>
      <c r="Z189" s="1"/>
      <c r="AB189" s="1"/>
      <c r="AC189" s="1"/>
      <c r="AD189" s="1"/>
      <c r="AF189" s="17"/>
      <c r="AG189" s="62"/>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row>
    <row r="190" spans="1:77" ht="15.75" customHeight="1" x14ac:dyDescent="0.55000000000000004">
      <c r="A190" s="54"/>
      <c r="B190" s="46"/>
      <c r="C190" s="145"/>
      <c r="D190" s="310" t="s">
        <v>379</v>
      </c>
      <c r="E190" s="310"/>
      <c r="F190" s="310"/>
      <c r="G190" s="310"/>
      <c r="H190" s="310"/>
      <c r="I190" s="310"/>
      <c r="J190" s="310"/>
      <c r="K190" s="310"/>
      <c r="L190" s="310"/>
      <c r="M190" s="310"/>
      <c r="N190" s="310"/>
      <c r="O190" s="440"/>
      <c r="P190" s="344"/>
      <c r="Q190" s="358"/>
      <c r="R190" s="358"/>
      <c r="S190" s="358"/>
      <c r="T190" s="358"/>
      <c r="U190" s="358"/>
      <c r="V190" s="358"/>
      <c r="W190" s="359"/>
      <c r="X190" s="344"/>
      <c r="Y190" s="332"/>
      <c r="Z190" s="1"/>
      <c r="AB190" s="1"/>
      <c r="AC190" s="1"/>
      <c r="AD190" s="1"/>
      <c r="AF190" s="17"/>
      <c r="AG190" s="62"/>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row>
    <row r="191" spans="1:77" ht="15.75" customHeight="1" x14ac:dyDescent="0.55000000000000004">
      <c r="A191" s="54"/>
      <c r="B191" s="46"/>
      <c r="C191" s="145"/>
      <c r="D191" s="310"/>
      <c r="E191" s="310"/>
      <c r="F191" s="310"/>
      <c r="G191" s="310"/>
      <c r="H191" s="310"/>
      <c r="I191" s="310"/>
      <c r="J191" s="310"/>
      <c r="K191" s="310"/>
      <c r="L191" s="310"/>
      <c r="M191" s="310"/>
      <c r="N191" s="310"/>
      <c r="O191" s="440"/>
      <c r="P191" s="100" t="s">
        <v>282</v>
      </c>
      <c r="Q191" s="345" t="s">
        <v>274</v>
      </c>
      <c r="R191" s="345"/>
      <c r="S191" s="345"/>
      <c r="T191" s="345"/>
      <c r="U191" s="345"/>
      <c r="V191" s="345"/>
      <c r="W191" s="346"/>
      <c r="X191" s="333">
        <v>0</v>
      </c>
      <c r="Y191" s="334"/>
      <c r="Z191" s="1"/>
      <c r="AB191" s="1"/>
      <c r="AC191" s="1"/>
      <c r="AD191" s="1"/>
      <c r="AF191" s="17"/>
      <c r="AG191" s="62"/>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row>
    <row r="192" spans="1:77" ht="15.75" customHeight="1" x14ac:dyDescent="0.55000000000000004">
      <c r="A192" s="54"/>
      <c r="B192" s="347" t="s">
        <v>95</v>
      </c>
      <c r="C192" s="348"/>
      <c r="D192" s="348"/>
      <c r="E192" s="348"/>
      <c r="F192" s="348"/>
      <c r="G192" s="348"/>
      <c r="H192" s="348"/>
      <c r="I192" s="348"/>
      <c r="J192" s="348"/>
      <c r="K192" s="348"/>
      <c r="L192" s="348"/>
      <c r="M192" s="348"/>
      <c r="N192" s="348"/>
      <c r="O192" s="349"/>
      <c r="P192" s="409" t="s">
        <v>50</v>
      </c>
      <c r="Q192" s="410"/>
      <c r="R192" s="410"/>
      <c r="S192" s="410"/>
      <c r="T192" s="410"/>
      <c r="U192" s="410"/>
      <c r="V192" s="410"/>
      <c r="W192" s="410"/>
      <c r="X192" s="411" t="s">
        <v>49</v>
      </c>
      <c r="Y192" s="411"/>
      <c r="Z192" s="1"/>
      <c r="AB192" s="1"/>
      <c r="AC192" s="1"/>
      <c r="AD192" s="1"/>
      <c r="AF192" s="17"/>
      <c r="AG192" s="62" t="s">
        <v>244</v>
      </c>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row>
    <row r="193" spans="1:77" ht="15.75" customHeight="1" x14ac:dyDescent="0.55000000000000004">
      <c r="A193" s="54"/>
      <c r="B193" s="146"/>
      <c r="C193" s="354" t="s">
        <v>381</v>
      </c>
      <c r="D193" s="355"/>
      <c r="E193" s="355"/>
      <c r="F193" s="355"/>
      <c r="G193" s="355"/>
      <c r="H193" s="355"/>
      <c r="I193" s="355"/>
      <c r="J193" s="355"/>
      <c r="K193" s="355"/>
      <c r="L193" s="355"/>
      <c r="M193" s="355"/>
      <c r="N193" s="355"/>
      <c r="O193" s="413"/>
      <c r="P193" s="120" t="s">
        <v>280</v>
      </c>
      <c r="Q193" s="132" t="s">
        <v>273</v>
      </c>
      <c r="R193" s="132"/>
      <c r="S193" s="132"/>
      <c r="T193" s="132"/>
      <c r="U193" s="132"/>
      <c r="V193" s="132"/>
      <c r="W193" s="133"/>
      <c r="X193" s="343">
        <v>1</v>
      </c>
      <c r="Y193" s="330"/>
      <c r="Z193" s="1"/>
      <c r="AB193" s="1"/>
      <c r="AC193" s="1"/>
      <c r="AD193" s="1"/>
      <c r="AF193" s="10">
        <v>15</v>
      </c>
      <c r="AG193" s="10" t="s">
        <v>265</v>
      </c>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row>
    <row r="194" spans="1:77" ht="15.75" customHeight="1" x14ac:dyDescent="0.55000000000000004">
      <c r="A194" s="54"/>
      <c r="B194" s="146"/>
      <c r="C194" s="398"/>
      <c r="D194" s="374"/>
      <c r="E194" s="374"/>
      <c r="F194" s="374"/>
      <c r="G194" s="374"/>
      <c r="H194" s="374"/>
      <c r="I194" s="374"/>
      <c r="J194" s="374"/>
      <c r="K194" s="374"/>
      <c r="L194" s="374"/>
      <c r="M194" s="374"/>
      <c r="N194" s="374"/>
      <c r="O194" s="414"/>
      <c r="P194" s="66"/>
      <c r="W194" s="115"/>
      <c r="X194" s="66"/>
      <c r="Y194" s="115"/>
      <c r="Z194" s="1"/>
      <c r="AB194" s="1"/>
      <c r="AC194" s="1"/>
      <c r="AD194" s="1"/>
      <c r="AF194" s="10"/>
      <c r="AG194" s="10"/>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row>
    <row r="195" spans="1:77" ht="15.75" customHeight="1" x14ac:dyDescent="0.55000000000000004">
      <c r="A195" s="54"/>
      <c r="B195" s="146"/>
      <c r="C195" s="398" t="s">
        <v>382</v>
      </c>
      <c r="D195" s="374"/>
      <c r="E195" s="374"/>
      <c r="F195" s="374"/>
      <c r="G195" s="374"/>
      <c r="H195" s="374"/>
      <c r="I195" s="374"/>
      <c r="J195" s="374"/>
      <c r="K195" s="374"/>
      <c r="L195" s="374"/>
      <c r="M195" s="374"/>
      <c r="N195" s="374"/>
      <c r="O195" s="414"/>
      <c r="P195" s="344" t="s">
        <v>281</v>
      </c>
      <c r="Q195" s="425" t="s">
        <v>292</v>
      </c>
      <c r="R195" s="425"/>
      <c r="S195" s="425"/>
      <c r="T195" s="425"/>
      <c r="U195" s="425"/>
      <c r="V195" s="425"/>
      <c r="W195" s="426"/>
      <c r="X195" s="344">
        <v>0.5</v>
      </c>
      <c r="Y195" s="332"/>
      <c r="Z195" s="1"/>
      <c r="AB195" s="1"/>
      <c r="AC195" s="1"/>
      <c r="AD195" s="1"/>
      <c r="AF195" s="10"/>
      <c r="AG195" s="10"/>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row>
    <row r="196" spans="1:77" ht="15.75" customHeight="1" x14ac:dyDescent="0.55000000000000004">
      <c r="A196" s="54"/>
      <c r="B196" s="146"/>
      <c r="C196" s="356"/>
      <c r="D196" s="357"/>
      <c r="E196" s="357"/>
      <c r="F196" s="357"/>
      <c r="G196" s="357"/>
      <c r="H196" s="357"/>
      <c r="I196" s="357"/>
      <c r="J196" s="357"/>
      <c r="K196" s="357"/>
      <c r="L196" s="357"/>
      <c r="M196" s="357"/>
      <c r="N196" s="357"/>
      <c r="O196" s="415"/>
      <c r="P196" s="344"/>
      <c r="Q196" s="425"/>
      <c r="R196" s="425"/>
      <c r="S196" s="425"/>
      <c r="T196" s="425"/>
      <c r="U196" s="425"/>
      <c r="V196" s="425"/>
      <c r="W196" s="426"/>
      <c r="X196" s="344"/>
      <c r="Y196" s="332"/>
      <c r="Z196" s="1"/>
      <c r="AB196" s="1"/>
      <c r="AC196" s="1"/>
      <c r="AD196" s="1"/>
      <c r="AF196" s="10"/>
      <c r="AG196" s="10"/>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row>
    <row r="197" spans="1:77" ht="15.75" customHeight="1" x14ac:dyDescent="0.55000000000000004">
      <c r="A197" s="54"/>
      <c r="B197" s="146"/>
      <c r="C197" s="354" t="s">
        <v>383</v>
      </c>
      <c r="D197" s="355"/>
      <c r="E197" s="355"/>
      <c r="F197" s="355"/>
      <c r="G197" s="355"/>
      <c r="H197" s="355"/>
      <c r="I197" s="355"/>
      <c r="J197" s="355"/>
      <c r="K197" s="355"/>
      <c r="L197" s="355"/>
      <c r="M197" s="355"/>
      <c r="N197" s="355"/>
      <c r="O197" s="413"/>
      <c r="P197" s="66"/>
      <c r="W197" s="115"/>
      <c r="X197" s="66"/>
      <c r="Y197" s="115"/>
      <c r="Z197" s="1"/>
      <c r="AB197" s="1"/>
      <c r="AC197" s="1"/>
      <c r="AD197" s="1"/>
      <c r="AF197" s="10"/>
      <c r="AG197" s="10"/>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row>
    <row r="198" spans="1:77" ht="15.75" customHeight="1" x14ac:dyDescent="0.55000000000000004">
      <c r="A198" s="54"/>
      <c r="B198" s="146"/>
      <c r="C198" s="398"/>
      <c r="D198" s="374"/>
      <c r="E198" s="374"/>
      <c r="F198" s="374"/>
      <c r="G198" s="374"/>
      <c r="H198" s="374"/>
      <c r="I198" s="374"/>
      <c r="J198" s="374"/>
      <c r="K198" s="374"/>
      <c r="L198" s="374"/>
      <c r="M198" s="374"/>
      <c r="N198" s="374"/>
      <c r="O198" s="414"/>
      <c r="P198" s="100" t="s">
        <v>282</v>
      </c>
      <c r="Q198" s="345" t="s">
        <v>274</v>
      </c>
      <c r="R198" s="345"/>
      <c r="S198" s="345"/>
      <c r="T198" s="345"/>
      <c r="U198" s="345"/>
      <c r="V198" s="345"/>
      <c r="W198" s="346"/>
      <c r="X198" s="333">
        <v>0</v>
      </c>
      <c r="Y198" s="334"/>
      <c r="Z198" s="1"/>
      <c r="AB198" s="1"/>
      <c r="AC198" s="1"/>
      <c r="AD198" s="1"/>
      <c r="AF198" s="10"/>
      <c r="AG198" s="10"/>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row>
    <row r="199" spans="1:77" ht="15.75" customHeight="1" x14ac:dyDescent="0.55000000000000004">
      <c r="A199" s="54"/>
      <c r="B199" s="422" t="s">
        <v>96</v>
      </c>
      <c r="C199" s="423"/>
      <c r="D199" s="423"/>
      <c r="E199" s="423"/>
      <c r="F199" s="423"/>
      <c r="G199" s="423"/>
      <c r="H199" s="423"/>
      <c r="I199" s="423"/>
      <c r="J199" s="423"/>
      <c r="K199" s="423"/>
      <c r="L199" s="423"/>
      <c r="M199" s="423"/>
      <c r="N199" s="423"/>
      <c r="O199" s="424"/>
      <c r="P199" s="409" t="s">
        <v>50</v>
      </c>
      <c r="Q199" s="410"/>
      <c r="R199" s="410"/>
      <c r="S199" s="410"/>
      <c r="T199" s="410"/>
      <c r="U199" s="410"/>
      <c r="V199" s="410"/>
      <c r="W199" s="410"/>
      <c r="X199" s="411" t="s">
        <v>49</v>
      </c>
      <c r="Y199" s="411"/>
      <c r="Z199" s="1"/>
      <c r="AB199" s="1"/>
      <c r="AC199" s="1"/>
      <c r="AD199" s="1"/>
      <c r="AE199" s="1"/>
      <c r="AF199" s="10">
        <v>16</v>
      </c>
      <c r="AG199" s="10" t="s">
        <v>266</v>
      </c>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row>
    <row r="200" spans="1:77" ht="15.75" customHeight="1" x14ac:dyDescent="0.55000000000000004">
      <c r="A200" s="54"/>
      <c r="B200" s="146"/>
      <c r="C200" s="354" t="s">
        <v>384</v>
      </c>
      <c r="D200" s="355"/>
      <c r="E200" s="355"/>
      <c r="F200" s="355"/>
      <c r="G200" s="355"/>
      <c r="H200" s="355"/>
      <c r="I200" s="355"/>
      <c r="J200" s="355"/>
      <c r="K200" s="355"/>
      <c r="L200" s="355"/>
      <c r="M200" s="355"/>
      <c r="N200" s="355"/>
      <c r="O200" s="413"/>
      <c r="P200" s="120" t="s">
        <v>280</v>
      </c>
      <c r="Q200" s="132" t="s">
        <v>273</v>
      </c>
      <c r="R200" s="132"/>
      <c r="S200" s="132"/>
      <c r="T200" s="132"/>
      <c r="U200" s="132"/>
      <c r="V200" s="132"/>
      <c r="W200" s="133"/>
      <c r="X200" s="343">
        <v>1</v>
      </c>
      <c r="Y200" s="330"/>
      <c r="Z200" s="1"/>
      <c r="AB200" s="1"/>
      <c r="AC200" s="1"/>
      <c r="AD200" s="1"/>
      <c r="AE200" s="1"/>
      <c r="AF200" s="10">
        <v>17</v>
      </c>
      <c r="AG200" s="10" t="s">
        <v>267</v>
      </c>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row>
    <row r="201" spans="1:77" ht="15.75" customHeight="1" x14ac:dyDescent="0.55000000000000004">
      <c r="A201" s="54"/>
      <c r="B201" s="146"/>
      <c r="C201" s="398"/>
      <c r="D201" s="374"/>
      <c r="E201" s="374"/>
      <c r="F201" s="374"/>
      <c r="G201" s="374"/>
      <c r="H201" s="374"/>
      <c r="I201" s="374"/>
      <c r="J201" s="374"/>
      <c r="K201" s="374"/>
      <c r="L201" s="374"/>
      <c r="M201" s="374"/>
      <c r="N201" s="374"/>
      <c r="O201" s="414"/>
      <c r="P201" s="66"/>
      <c r="W201" s="115"/>
      <c r="X201" s="66"/>
      <c r="Y201" s="115"/>
      <c r="Z201" s="1"/>
      <c r="AB201" s="1"/>
      <c r="AC201" s="1"/>
      <c r="AD201" s="1"/>
      <c r="AE201" s="1"/>
      <c r="AF201" s="10"/>
      <c r="AG201" s="10"/>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row>
    <row r="202" spans="1:77" ht="15.75" customHeight="1" x14ac:dyDescent="0.55000000000000004">
      <c r="A202" s="54"/>
      <c r="B202" s="146"/>
      <c r="C202" s="356"/>
      <c r="D202" s="357"/>
      <c r="E202" s="357"/>
      <c r="F202" s="357"/>
      <c r="G202" s="357"/>
      <c r="H202" s="357"/>
      <c r="I202" s="357"/>
      <c r="J202" s="357"/>
      <c r="K202" s="357"/>
      <c r="L202" s="357"/>
      <c r="M202" s="357"/>
      <c r="N202" s="357"/>
      <c r="O202" s="415"/>
      <c r="P202" s="66"/>
      <c r="W202" s="115"/>
      <c r="X202" s="66"/>
      <c r="Y202" s="115"/>
      <c r="Z202" s="1"/>
      <c r="AB202" s="1"/>
      <c r="AC202" s="1"/>
      <c r="AD202" s="1"/>
      <c r="AE202" s="1"/>
      <c r="AF202" s="10"/>
      <c r="AG202" s="10"/>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row>
    <row r="203" spans="1:77" ht="15.75" customHeight="1" x14ac:dyDescent="0.55000000000000004">
      <c r="A203" s="54"/>
      <c r="B203" s="146"/>
      <c r="C203" s="416" t="s">
        <v>385</v>
      </c>
      <c r="D203" s="417"/>
      <c r="E203" s="417"/>
      <c r="F203" s="417"/>
      <c r="G203" s="417"/>
      <c r="H203" s="417"/>
      <c r="I203" s="417"/>
      <c r="J203" s="417"/>
      <c r="K203" s="417"/>
      <c r="L203" s="417"/>
      <c r="M203" s="417"/>
      <c r="N203" s="417"/>
      <c r="O203" s="418"/>
      <c r="P203" s="344" t="s">
        <v>281</v>
      </c>
      <c r="Q203" s="358" t="s">
        <v>292</v>
      </c>
      <c r="R203" s="358"/>
      <c r="S203" s="358"/>
      <c r="T203" s="358"/>
      <c r="U203" s="358"/>
      <c r="V203" s="358"/>
      <c r="W203" s="359"/>
      <c r="X203" s="344">
        <v>0.5</v>
      </c>
      <c r="Y203" s="332"/>
      <c r="Z203" s="1"/>
      <c r="AB203" s="1"/>
      <c r="AC203" s="1"/>
      <c r="AD203" s="1"/>
      <c r="AE203" s="1"/>
      <c r="AG203" s="62" t="s">
        <v>248</v>
      </c>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row>
    <row r="204" spans="1:77" ht="15.75" customHeight="1" x14ac:dyDescent="0.55000000000000004">
      <c r="A204" s="54"/>
      <c r="B204" s="146"/>
      <c r="C204" s="419"/>
      <c r="D204" s="420"/>
      <c r="E204" s="420"/>
      <c r="F204" s="420"/>
      <c r="G204" s="420"/>
      <c r="H204" s="420"/>
      <c r="I204" s="420"/>
      <c r="J204" s="420"/>
      <c r="K204" s="420"/>
      <c r="L204" s="420"/>
      <c r="M204" s="420"/>
      <c r="N204" s="420"/>
      <c r="O204" s="421"/>
      <c r="P204" s="344"/>
      <c r="Q204" s="358"/>
      <c r="R204" s="358"/>
      <c r="S204" s="358"/>
      <c r="T204" s="358"/>
      <c r="U204" s="358"/>
      <c r="V204" s="358"/>
      <c r="W204" s="359"/>
      <c r="X204" s="344"/>
      <c r="Y204" s="332"/>
      <c r="Z204" s="1"/>
      <c r="AB204" s="1"/>
      <c r="AC204" s="1"/>
      <c r="AD204" s="1"/>
      <c r="AE204" s="1"/>
      <c r="AG204" s="62"/>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row>
    <row r="205" spans="1:77" ht="15.75" customHeight="1" x14ac:dyDescent="0.55000000000000004">
      <c r="A205" s="54"/>
      <c r="B205" s="146"/>
      <c r="C205" s="355" t="s">
        <v>386</v>
      </c>
      <c r="D205" s="355"/>
      <c r="E205" s="355"/>
      <c r="F205" s="355"/>
      <c r="G205" s="355"/>
      <c r="H205" s="355"/>
      <c r="I205" s="355"/>
      <c r="J205" s="355"/>
      <c r="K205" s="355"/>
      <c r="L205" s="355"/>
      <c r="M205" s="355"/>
      <c r="N205" s="355"/>
      <c r="O205" s="413"/>
      <c r="P205" s="66"/>
      <c r="W205" s="115"/>
      <c r="X205" s="66"/>
      <c r="Y205" s="115"/>
      <c r="Z205" s="1"/>
      <c r="AB205" s="1"/>
      <c r="AC205" s="1"/>
      <c r="AD205" s="1"/>
      <c r="AE205" s="1"/>
      <c r="AG205" s="62"/>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row>
    <row r="206" spans="1:77" ht="15.75" customHeight="1" x14ac:dyDescent="0.55000000000000004">
      <c r="A206" s="54"/>
      <c r="B206" s="146"/>
      <c r="C206" s="374"/>
      <c r="D206" s="374"/>
      <c r="E206" s="374"/>
      <c r="F206" s="374"/>
      <c r="G206" s="374"/>
      <c r="H206" s="374"/>
      <c r="I206" s="374"/>
      <c r="J206" s="374"/>
      <c r="K206" s="374"/>
      <c r="L206" s="374"/>
      <c r="M206" s="374"/>
      <c r="N206" s="374"/>
      <c r="O206" s="414"/>
      <c r="P206" s="66"/>
      <c r="W206" s="115"/>
      <c r="X206" s="66"/>
      <c r="Y206" s="115"/>
      <c r="Z206" s="1"/>
      <c r="AB206" s="1"/>
      <c r="AC206" s="1"/>
      <c r="AD206" s="1"/>
      <c r="AE206" s="1"/>
      <c r="AG206" s="62"/>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row>
    <row r="207" spans="1:77" ht="15.75" customHeight="1" x14ac:dyDescent="0.55000000000000004">
      <c r="A207" s="54"/>
      <c r="B207" s="146"/>
      <c r="C207" s="357"/>
      <c r="D207" s="357"/>
      <c r="E207" s="357"/>
      <c r="F207" s="357"/>
      <c r="G207" s="357"/>
      <c r="H207" s="357"/>
      <c r="I207" s="357"/>
      <c r="J207" s="357"/>
      <c r="K207" s="357"/>
      <c r="L207" s="357"/>
      <c r="M207" s="357"/>
      <c r="N207" s="357"/>
      <c r="O207" s="415"/>
      <c r="P207" s="100" t="s">
        <v>282</v>
      </c>
      <c r="Q207" s="345" t="s">
        <v>274</v>
      </c>
      <c r="R207" s="345"/>
      <c r="S207" s="345"/>
      <c r="T207" s="345"/>
      <c r="U207" s="345"/>
      <c r="V207" s="345"/>
      <c r="W207" s="346"/>
      <c r="X207" s="333">
        <v>0</v>
      </c>
      <c r="Y207" s="334"/>
      <c r="Z207" s="1"/>
      <c r="AB207" s="1"/>
      <c r="AC207" s="1"/>
      <c r="AD207" s="1"/>
      <c r="AE207" s="1"/>
      <c r="AG207" s="62" t="s">
        <v>249</v>
      </c>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row>
    <row r="208" spans="1:77" ht="17.399999999999999" x14ac:dyDescent="0.55000000000000004">
      <c r="A208" s="54"/>
      <c r="B208" s="407" t="s">
        <v>97</v>
      </c>
      <c r="C208" s="407"/>
      <c r="D208" s="407"/>
      <c r="E208" s="407"/>
      <c r="F208" s="407"/>
      <c r="G208" s="407"/>
      <c r="H208" s="407"/>
      <c r="I208" s="407"/>
      <c r="J208" s="407"/>
      <c r="K208" s="407"/>
      <c r="L208" s="407"/>
      <c r="M208" s="407"/>
      <c r="N208" s="407"/>
      <c r="O208" s="408"/>
      <c r="P208" s="409" t="s">
        <v>50</v>
      </c>
      <c r="Q208" s="410"/>
      <c r="R208" s="410"/>
      <c r="S208" s="410"/>
      <c r="T208" s="410"/>
      <c r="U208" s="410"/>
      <c r="V208" s="410"/>
      <c r="W208" s="410"/>
      <c r="X208" s="411" t="s">
        <v>49</v>
      </c>
      <c r="Y208" s="41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row>
    <row r="209" spans="1:77" ht="18.75" customHeight="1" x14ac:dyDescent="0.55000000000000004">
      <c r="A209" s="54"/>
      <c r="B209" s="50"/>
      <c r="C209" s="324" t="s">
        <v>388</v>
      </c>
      <c r="D209" s="324"/>
      <c r="E209" s="324"/>
      <c r="F209" s="324"/>
      <c r="G209" s="324"/>
      <c r="H209" s="324"/>
      <c r="I209" s="324"/>
      <c r="J209" s="324"/>
      <c r="K209" s="324"/>
      <c r="L209" s="324"/>
      <c r="M209" s="324"/>
      <c r="N209" s="324"/>
      <c r="O209" s="324"/>
      <c r="P209" s="120" t="s">
        <v>280</v>
      </c>
      <c r="Q209" s="132" t="s">
        <v>273</v>
      </c>
      <c r="R209" s="132"/>
      <c r="S209" s="132"/>
      <c r="T209" s="132"/>
      <c r="U209" s="132"/>
      <c r="V209" s="132"/>
      <c r="W209" s="133"/>
      <c r="X209" s="343">
        <v>1</v>
      </c>
      <c r="Y209" s="330"/>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row>
    <row r="210" spans="1:77" ht="17.399999999999999" x14ac:dyDescent="0.55000000000000004">
      <c r="A210" s="54"/>
      <c r="B210" s="50" t="s">
        <v>75</v>
      </c>
      <c r="C210" s="328"/>
      <c r="D210" s="328"/>
      <c r="E210" s="328"/>
      <c r="F210" s="328"/>
      <c r="G210" s="328"/>
      <c r="H210" s="328"/>
      <c r="I210" s="328"/>
      <c r="J210" s="328"/>
      <c r="K210" s="328"/>
      <c r="L210" s="328"/>
      <c r="M210" s="328"/>
      <c r="N210" s="328"/>
      <c r="O210" s="328"/>
      <c r="P210" s="66"/>
      <c r="W210" s="115"/>
      <c r="X210" s="66"/>
      <c r="Y210" s="115"/>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row>
    <row r="211" spans="1:77" ht="17.399999999999999" x14ac:dyDescent="0.55000000000000004">
      <c r="A211" s="54"/>
      <c r="B211" s="50"/>
      <c r="C211" s="324" t="s">
        <v>389</v>
      </c>
      <c r="D211" s="324"/>
      <c r="E211" s="324"/>
      <c r="F211" s="324"/>
      <c r="G211" s="324"/>
      <c r="H211" s="324"/>
      <c r="I211" s="324"/>
      <c r="J211" s="324"/>
      <c r="K211" s="324"/>
      <c r="L211" s="324"/>
      <c r="M211" s="324"/>
      <c r="N211" s="324"/>
      <c r="O211" s="324"/>
      <c r="P211" s="344" t="s">
        <v>281</v>
      </c>
      <c r="Q211" s="358" t="s">
        <v>392</v>
      </c>
      <c r="R211" s="358"/>
      <c r="S211" s="358"/>
      <c r="T211" s="358"/>
      <c r="U211" s="358"/>
      <c r="V211" s="358"/>
      <c r="W211" s="359"/>
      <c r="X211" s="344">
        <v>0.5</v>
      </c>
      <c r="Y211" s="332"/>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row>
    <row r="212" spans="1:77" ht="17.399999999999999" x14ac:dyDescent="0.55000000000000004">
      <c r="A212" s="54"/>
      <c r="B212" s="50" t="s">
        <v>72</v>
      </c>
      <c r="C212" s="328"/>
      <c r="D212" s="328"/>
      <c r="E212" s="328"/>
      <c r="F212" s="328"/>
      <c r="G212" s="328"/>
      <c r="H212" s="328"/>
      <c r="I212" s="328"/>
      <c r="J212" s="328"/>
      <c r="K212" s="328"/>
      <c r="L212" s="328"/>
      <c r="M212" s="328"/>
      <c r="N212" s="328"/>
      <c r="O212" s="328"/>
      <c r="P212" s="344"/>
      <c r="Q212" s="358"/>
      <c r="R212" s="358"/>
      <c r="S212" s="358"/>
      <c r="T212" s="358"/>
      <c r="U212" s="358"/>
      <c r="V212" s="358"/>
      <c r="W212" s="359"/>
      <c r="X212" s="344"/>
      <c r="Y212" s="332"/>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row>
    <row r="213" spans="1:77" ht="18.75" customHeight="1" x14ac:dyDescent="0.55000000000000004">
      <c r="A213" s="54"/>
      <c r="B213" s="50"/>
      <c r="C213" s="324" t="s">
        <v>390</v>
      </c>
      <c r="D213" s="324"/>
      <c r="E213" s="324"/>
      <c r="F213" s="324"/>
      <c r="G213" s="324"/>
      <c r="H213" s="324"/>
      <c r="I213" s="324"/>
      <c r="J213" s="324"/>
      <c r="K213" s="324"/>
      <c r="L213" s="324"/>
      <c r="M213" s="324"/>
      <c r="N213" s="324"/>
      <c r="O213" s="324"/>
      <c r="P213" s="66"/>
      <c r="W213" s="115"/>
      <c r="X213" s="66"/>
      <c r="Y213" s="115"/>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row>
    <row r="214" spans="1:77" ht="17.399999999999999" x14ac:dyDescent="0.55000000000000004">
      <c r="A214" s="54"/>
      <c r="B214" s="50" t="s">
        <v>13</v>
      </c>
      <c r="C214" s="326"/>
      <c r="D214" s="326"/>
      <c r="E214" s="326"/>
      <c r="F214" s="326"/>
      <c r="G214" s="326"/>
      <c r="H214" s="326"/>
      <c r="I214" s="326"/>
      <c r="J214" s="326"/>
      <c r="K214" s="326"/>
      <c r="L214" s="326"/>
      <c r="M214" s="326"/>
      <c r="N214" s="326"/>
      <c r="O214" s="326"/>
      <c r="P214" s="117" t="s">
        <v>282</v>
      </c>
      <c r="Q214" s="7" t="s">
        <v>393</v>
      </c>
      <c r="R214" s="7"/>
      <c r="S214" s="7"/>
      <c r="T214" s="7"/>
      <c r="U214" s="7"/>
      <c r="V214" s="7"/>
      <c r="W214" s="121"/>
      <c r="X214" s="344">
        <v>0</v>
      </c>
      <c r="Y214" s="332"/>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row>
    <row r="215" spans="1:77" ht="17.399999999999999" x14ac:dyDescent="0.55000000000000004">
      <c r="A215" s="54"/>
      <c r="B215" s="50"/>
      <c r="C215" s="328"/>
      <c r="D215" s="328"/>
      <c r="E215" s="328"/>
      <c r="F215" s="328"/>
      <c r="G215" s="328"/>
      <c r="H215" s="328"/>
      <c r="I215" s="328"/>
      <c r="J215" s="328"/>
      <c r="K215" s="328"/>
      <c r="L215" s="328"/>
      <c r="M215" s="328"/>
      <c r="N215" s="328"/>
      <c r="O215" s="328"/>
      <c r="P215" s="117"/>
      <c r="Q215" s="7"/>
      <c r="R215" s="7"/>
      <c r="S215" s="7"/>
      <c r="T215" s="7"/>
      <c r="U215" s="7"/>
      <c r="V215" s="7"/>
      <c r="W215" s="121"/>
      <c r="X215" s="117"/>
      <c r="Y215" s="118"/>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row>
    <row r="216" spans="1:77" ht="15.75" customHeight="1" x14ac:dyDescent="0.55000000000000004">
      <c r="A216" s="54"/>
      <c r="B216" s="50"/>
      <c r="C216" s="324" t="s">
        <v>391</v>
      </c>
      <c r="D216" s="324"/>
      <c r="E216" s="324"/>
      <c r="F216" s="324"/>
      <c r="G216" s="324"/>
      <c r="H216" s="324"/>
      <c r="I216" s="324"/>
      <c r="J216" s="324"/>
      <c r="K216" s="324"/>
      <c r="L216" s="324"/>
      <c r="M216" s="324"/>
      <c r="N216" s="324"/>
      <c r="O216" s="324"/>
      <c r="P216" s="150"/>
      <c r="Q216" s="147"/>
      <c r="R216" s="148"/>
      <c r="S216" s="149"/>
      <c r="T216" s="149"/>
      <c r="U216" s="149"/>
      <c r="V216" s="149"/>
      <c r="W216" s="151"/>
      <c r="X216" s="152"/>
      <c r="Y216" s="15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row>
    <row r="217" spans="1:77" ht="17.399999999999999" x14ac:dyDescent="0.55000000000000004">
      <c r="A217" s="54"/>
      <c r="B217" s="50" t="s">
        <v>72</v>
      </c>
      <c r="C217" s="328"/>
      <c r="D217" s="328"/>
      <c r="E217" s="328"/>
      <c r="F217" s="328"/>
      <c r="G217" s="328"/>
      <c r="H217" s="328"/>
      <c r="I217" s="328"/>
      <c r="J217" s="328"/>
      <c r="K217" s="328"/>
      <c r="L217" s="328"/>
      <c r="M217" s="328"/>
      <c r="N217" s="328"/>
      <c r="O217" s="328"/>
      <c r="P217" s="100" t="s">
        <v>282</v>
      </c>
      <c r="Q217" s="345" t="s">
        <v>274</v>
      </c>
      <c r="R217" s="345"/>
      <c r="S217" s="345"/>
      <c r="T217" s="345"/>
      <c r="U217" s="345"/>
      <c r="V217" s="345"/>
      <c r="W217" s="346"/>
      <c r="X217" s="333">
        <v>0</v>
      </c>
      <c r="Y217" s="334"/>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row>
    <row r="218" spans="1:77" ht="17.399999999999999" x14ac:dyDescent="0.55000000000000004">
      <c r="A218" s="367" t="s">
        <v>98</v>
      </c>
      <c r="B218" s="368"/>
      <c r="C218" s="368"/>
      <c r="D218" s="368"/>
      <c r="E218" s="368"/>
      <c r="F218" s="368"/>
      <c r="G218" s="368"/>
      <c r="H218" s="368"/>
      <c r="I218" s="368"/>
      <c r="J218" s="368"/>
      <c r="K218" s="368"/>
      <c r="L218" s="368"/>
      <c r="M218" s="368"/>
      <c r="N218" s="368"/>
      <c r="O218" s="369"/>
      <c r="P218" s="399" t="s">
        <v>50</v>
      </c>
      <c r="Q218" s="400"/>
      <c r="R218" s="400"/>
      <c r="S218" s="400"/>
      <c r="T218" s="400"/>
      <c r="U218" s="400"/>
      <c r="V218" s="400"/>
      <c r="W218" s="400"/>
      <c r="X218" s="401" t="s">
        <v>49</v>
      </c>
      <c r="Y218" s="401"/>
      <c r="Z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row>
    <row r="219" spans="1:77" ht="15.75" customHeight="1" x14ac:dyDescent="0.55000000000000004">
      <c r="A219" s="186" t="s">
        <v>72</v>
      </c>
      <c r="B219" s="310" t="s">
        <v>395</v>
      </c>
      <c r="C219" s="310"/>
      <c r="D219" s="310"/>
      <c r="E219" s="310"/>
      <c r="F219" s="310"/>
      <c r="G219" s="310"/>
      <c r="H219" s="310"/>
      <c r="I219" s="310"/>
      <c r="J219" s="310"/>
      <c r="K219" s="310"/>
      <c r="L219" s="310"/>
      <c r="M219" s="310"/>
      <c r="N219" s="310"/>
      <c r="O219" s="310"/>
      <c r="P219" s="120" t="s">
        <v>280</v>
      </c>
      <c r="Q219" s="132" t="s">
        <v>273</v>
      </c>
      <c r="R219" s="132"/>
      <c r="S219" s="132"/>
      <c r="T219" s="132"/>
      <c r="U219" s="132"/>
      <c r="V219" s="132"/>
      <c r="W219" s="133"/>
      <c r="X219" s="343">
        <v>1</v>
      </c>
      <c r="Y219" s="330"/>
      <c r="Z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row>
    <row r="220" spans="1:77" ht="15.75" customHeight="1" x14ac:dyDescent="0.55000000000000004">
      <c r="A220" s="186"/>
      <c r="B220" s="310"/>
      <c r="C220" s="310"/>
      <c r="D220" s="310"/>
      <c r="E220" s="310"/>
      <c r="F220" s="310"/>
      <c r="G220" s="310"/>
      <c r="H220" s="310"/>
      <c r="I220" s="310"/>
      <c r="J220" s="310"/>
      <c r="K220" s="310"/>
      <c r="L220" s="310"/>
      <c r="M220" s="310"/>
      <c r="N220" s="310"/>
      <c r="O220" s="310"/>
      <c r="P220" s="117" t="s">
        <v>281</v>
      </c>
      <c r="Q220" s="358" t="s">
        <v>398</v>
      </c>
      <c r="R220" s="358"/>
      <c r="S220" s="358"/>
      <c r="T220" s="358"/>
      <c r="U220" s="358"/>
      <c r="V220" s="358"/>
      <c r="W220" s="359"/>
      <c r="X220" s="344">
        <v>0.5</v>
      </c>
      <c r="Y220" s="332"/>
      <c r="Z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row>
    <row r="221" spans="1:77" ht="15.75" customHeight="1" x14ac:dyDescent="0.55000000000000004">
      <c r="A221" s="186" t="s">
        <v>72</v>
      </c>
      <c r="B221" s="310" t="s">
        <v>396</v>
      </c>
      <c r="C221" s="310"/>
      <c r="D221" s="310"/>
      <c r="E221" s="310"/>
      <c r="F221" s="310"/>
      <c r="G221" s="310"/>
      <c r="H221" s="310"/>
      <c r="I221" s="310"/>
      <c r="J221" s="310"/>
      <c r="K221" s="310"/>
      <c r="L221" s="310"/>
      <c r="M221" s="310"/>
      <c r="N221" s="310"/>
      <c r="O221" s="310"/>
      <c r="P221" s="412" t="s">
        <v>282</v>
      </c>
      <c r="Q221" s="358" t="s">
        <v>399</v>
      </c>
      <c r="R221" s="358"/>
      <c r="S221" s="358"/>
      <c r="T221" s="358"/>
      <c r="U221" s="358"/>
      <c r="V221" s="358"/>
      <c r="W221" s="359"/>
      <c r="X221" s="396">
        <v>0</v>
      </c>
      <c r="Y221" s="397"/>
      <c r="Z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row>
    <row r="222" spans="1:77" ht="15.75" customHeight="1" x14ac:dyDescent="0.55000000000000004">
      <c r="A222" s="186"/>
      <c r="B222" s="310"/>
      <c r="C222" s="310"/>
      <c r="D222" s="310"/>
      <c r="E222" s="310"/>
      <c r="F222" s="310"/>
      <c r="G222" s="310"/>
      <c r="H222" s="310"/>
      <c r="I222" s="310"/>
      <c r="J222" s="310"/>
      <c r="K222" s="310"/>
      <c r="L222" s="310"/>
      <c r="M222" s="310"/>
      <c r="N222" s="310"/>
      <c r="O222" s="310"/>
      <c r="P222" s="412"/>
      <c r="Q222" s="358"/>
      <c r="R222" s="358"/>
      <c r="S222" s="358"/>
      <c r="T222" s="358"/>
      <c r="U222" s="358"/>
      <c r="V222" s="358"/>
      <c r="W222" s="359"/>
      <c r="X222" s="396"/>
      <c r="Y222" s="397"/>
      <c r="Z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row>
    <row r="223" spans="1:77" ht="15.75" customHeight="1" x14ac:dyDescent="0.55000000000000004">
      <c r="A223" s="186" t="s">
        <v>75</v>
      </c>
      <c r="B223" s="310" t="s">
        <v>397</v>
      </c>
      <c r="C223" s="310"/>
      <c r="D223" s="310"/>
      <c r="E223" s="310"/>
      <c r="F223" s="310"/>
      <c r="G223" s="310"/>
      <c r="H223" s="310"/>
      <c r="I223" s="310"/>
      <c r="J223" s="310"/>
      <c r="K223" s="310"/>
      <c r="L223" s="310"/>
      <c r="M223" s="310"/>
      <c r="N223" s="310"/>
      <c r="O223" s="310"/>
      <c r="P223" s="100" t="s">
        <v>282</v>
      </c>
      <c r="Q223" s="345" t="s">
        <v>274</v>
      </c>
      <c r="R223" s="345"/>
      <c r="S223" s="345"/>
      <c r="T223" s="345"/>
      <c r="U223" s="345"/>
      <c r="V223" s="345"/>
      <c r="W223" s="346"/>
      <c r="X223" s="333">
        <v>0</v>
      </c>
      <c r="Y223" s="334"/>
      <c r="Z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row>
    <row r="224" spans="1:77" ht="15.75" customHeight="1" x14ac:dyDescent="0.55000000000000004">
      <c r="A224" s="405"/>
      <c r="B224" s="405"/>
      <c r="C224" s="405"/>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6"/>
      <c r="Z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row>
    <row r="225" spans="1:77" ht="17.399999999999999" x14ac:dyDescent="0.55000000000000004">
      <c r="A225" s="404" t="s">
        <v>99</v>
      </c>
      <c r="B225" s="404"/>
      <c r="C225" s="404"/>
      <c r="D225" s="404"/>
      <c r="E225" s="404"/>
      <c r="F225" s="404"/>
      <c r="G225" s="404"/>
      <c r="H225" s="404"/>
      <c r="I225" s="404"/>
      <c r="J225" s="404"/>
      <c r="K225" s="404"/>
      <c r="L225" s="404"/>
      <c r="M225" s="404"/>
      <c r="N225" s="404"/>
      <c r="O225" s="404"/>
      <c r="P225" s="404"/>
      <c r="Q225" s="404"/>
      <c r="R225" s="404"/>
      <c r="S225" s="404"/>
      <c r="T225" s="404"/>
      <c r="U225" s="404"/>
      <c r="V225" s="404"/>
      <c r="W225" s="404"/>
      <c r="X225" s="404"/>
      <c r="Y225" s="404"/>
      <c r="Z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row>
    <row r="226" spans="1:77" ht="15.75" customHeight="1" x14ac:dyDescent="0.55000000000000004">
      <c r="A226" s="367" t="s">
        <v>100</v>
      </c>
      <c r="B226" s="368"/>
      <c r="C226" s="368"/>
      <c r="D226" s="368"/>
      <c r="E226" s="368"/>
      <c r="F226" s="368"/>
      <c r="G226" s="368"/>
      <c r="H226" s="368"/>
      <c r="I226" s="368"/>
      <c r="J226" s="368"/>
      <c r="K226" s="368"/>
      <c r="L226" s="368"/>
      <c r="M226" s="368"/>
      <c r="N226" s="368"/>
      <c r="O226" s="369"/>
      <c r="P226" s="399" t="s">
        <v>50</v>
      </c>
      <c r="Q226" s="400"/>
      <c r="R226" s="400"/>
      <c r="S226" s="400"/>
      <c r="T226" s="400"/>
      <c r="U226" s="400"/>
      <c r="V226" s="400"/>
      <c r="W226" s="400"/>
      <c r="X226" s="401" t="s">
        <v>49</v>
      </c>
      <c r="Y226" s="401"/>
      <c r="Z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row>
    <row r="227" spans="1:77" ht="15.75" customHeight="1" x14ac:dyDescent="0.55000000000000004">
      <c r="A227" s="26"/>
      <c r="B227" s="354" t="s">
        <v>401</v>
      </c>
      <c r="C227" s="355"/>
      <c r="D227" s="355"/>
      <c r="E227" s="355"/>
      <c r="F227" s="355"/>
      <c r="G227" s="355"/>
      <c r="H227" s="355"/>
      <c r="I227" s="355"/>
      <c r="J227" s="355"/>
      <c r="K227" s="355"/>
      <c r="L227" s="355"/>
      <c r="M227" s="355"/>
      <c r="N227" s="355"/>
      <c r="O227" s="355"/>
      <c r="P227" s="120" t="s">
        <v>280</v>
      </c>
      <c r="Q227" s="132" t="s">
        <v>273</v>
      </c>
      <c r="R227" s="132"/>
      <c r="S227" s="132"/>
      <c r="T227" s="132"/>
      <c r="U227" s="132"/>
      <c r="V227" s="132"/>
      <c r="W227" s="133"/>
      <c r="X227" s="343">
        <v>1</v>
      </c>
      <c r="Y227" s="330"/>
      <c r="Z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row>
    <row r="228" spans="1:77" ht="15.75" customHeight="1" x14ac:dyDescent="0.55000000000000004">
      <c r="A228" s="26"/>
      <c r="B228" s="356"/>
      <c r="C228" s="357"/>
      <c r="D228" s="357"/>
      <c r="E228" s="357"/>
      <c r="F228" s="357"/>
      <c r="G228" s="357"/>
      <c r="H228" s="357"/>
      <c r="I228" s="357"/>
      <c r="J228" s="357"/>
      <c r="K228" s="357"/>
      <c r="L228" s="357"/>
      <c r="M228" s="357"/>
      <c r="N228" s="357"/>
      <c r="O228" s="357"/>
      <c r="P228" s="156"/>
      <c r="Q228" s="70"/>
      <c r="R228" s="157"/>
      <c r="S228" s="158"/>
      <c r="T228" s="158"/>
      <c r="U228" s="123"/>
      <c r="V228" s="123"/>
      <c r="W228" s="124"/>
      <c r="X228" s="159"/>
      <c r="Y228" s="124"/>
      <c r="Z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row>
    <row r="229" spans="1:77" ht="15.75" customHeight="1" x14ac:dyDescent="0.55000000000000004">
      <c r="A229" s="26"/>
      <c r="B229" s="354" t="s">
        <v>402</v>
      </c>
      <c r="C229" s="355"/>
      <c r="D229" s="355"/>
      <c r="E229" s="355"/>
      <c r="F229" s="355"/>
      <c r="G229" s="355"/>
      <c r="H229" s="355"/>
      <c r="I229" s="355"/>
      <c r="J229" s="355"/>
      <c r="K229" s="355"/>
      <c r="L229" s="355"/>
      <c r="M229" s="355"/>
      <c r="N229" s="355"/>
      <c r="O229" s="355"/>
      <c r="P229" s="117" t="s">
        <v>281</v>
      </c>
      <c r="Q229" s="7" t="s">
        <v>292</v>
      </c>
      <c r="R229" s="7"/>
      <c r="S229" s="7"/>
      <c r="T229" s="7"/>
      <c r="U229" s="7"/>
      <c r="V229" s="7"/>
      <c r="W229" s="121"/>
      <c r="X229" s="344">
        <v>0.5</v>
      </c>
      <c r="Y229" s="332"/>
      <c r="Z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row>
    <row r="230" spans="1:77" ht="15.75" customHeight="1" x14ac:dyDescent="0.55000000000000004">
      <c r="A230" s="26"/>
      <c r="B230" s="398"/>
      <c r="C230" s="374"/>
      <c r="D230" s="374"/>
      <c r="E230" s="374"/>
      <c r="F230" s="374"/>
      <c r="G230" s="374"/>
      <c r="H230" s="374"/>
      <c r="I230" s="374"/>
      <c r="J230" s="374"/>
      <c r="K230" s="374"/>
      <c r="L230" s="374"/>
      <c r="M230" s="374"/>
      <c r="N230" s="374"/>
      <c r="O230" s="374"/>
      <c r="P230" s="117"/>
      <c r="Q230" s="7"/>
      <c r="R230" s="7"/>
      <c r="S230" s="7"/>
      <c r="T230" s="7"/>
      <c r="U230" s="7"/>
      <c r="V230" s="7"/>
      <c r="W230" s="121"/>
      <c r="X230" s="117"/>
      <c r="Y230" s="118"/>
      <c r="Z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row>
    <row r="231" spans="1:77" ht="15.75" customHeight="1" x14ac:dyDescent="0.55000000000000004">
      <c r="A231" s="26"/>
      <c r="B231" s="356"/>
      <c r="C231" s="357"/>
      <c r="D231" s="357"/>
      <c r="E231" s="357"/>
      <c r="F231" s="357"/>
      <c r="G231" s="357"/>
      <c r="H231" s="357"/>
      <c r="I231" s="357"/>
      <c r="J231" s="357"/>
      <c r="K231" s="357"/>
      <c r="L231" s="357"/>
      <c r="M231" s="357"/>
      <c r="N231" s="357"/>
      <c r="O231" s="357"/>
      <c r="P231" s="100" t="s">
        <v>282</v>
      </c>
      <c r="Q231" s="345" t="s">
        <v>274</v>
      </c>
      <c r="R231" s="345"/>
      <c r="S231" s="345"/>
      <c r="T231" s="345"/>
      <c r="U231" s="345"/>
      <c r="V231" s="345"/>
      <c r="W231" s="346"/>
      <c r="X231" s="333">
        <v>0</v>
      </c>
      <c r="Y231" s="334"/>
      <c r="Z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row>
    <row r="232" spans="1:77" ht="17.399999999999999" x14ac:dyDescent="0.55000000000000004">
      <c r="A232" s="603" t="s">
        <v>101</v>
      </c>
      <c r="B232" s="368"/>
      <c r="C232" s="368"/>
      <c r="D232" s="368"/>
      <c r="E232" s="368"/>
      <c r="F232" s="368"/>
      <c r="G232" s="368"/>
      <c r="H232" s="368"/>
      <c r="I232" s="368"/>
      <c r="J232" s="368"/>
      <c r="K232" s="368"/>
      <c r="L232" s="368"/>
      <c r="M232" s="368"/>
      <c r="N232" s="368"/>
      <c r="O232" s="369"/>
      <c r="P232" s="399" t="s">
        <v>50</v>
      </c>
      <c r="Q232" s="400"/>
      <c r="R232" s="400"/>
      <c r="S232" s="400"/>
      <c r="T232" s="400"/>
      <c r="U232" s="400"/>
      <c r="V232" s="400"/>
      <c r="W232" s="400"/>
      <c r="X232" s="401" t="s">
        <v>49</v>
      </c>
      <c r="Y232" s="40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row>
    <row r="233" spans="1:77" ht="15.75" customHeight="1" x14ac:dyDescent="0.55000000000000004">
      <c r="A233" s="166"/>
      <c r="B233" s="335" t="s">
        <v>526</v>
      </c>
      <c r="C233" s="335"/>
      <c r="D233" s="335"/>
      <c r="E233" s="335"/>
      <c r="F233" s="335"/>
      <c r="G233" s="335"/>
      <c r="H233" s="335"/>
      <c r="I233" s="335"/>
      <c r="J233" s="335"/>
      <c r="K233" s="335"/>
      <c r="L233" s="335"/>
      <c r="M233" s="335"/>
      <c r="N233" s="335"/>
      <c r="O233" s="336"/>
      <c r="P233" s="120" t="s">
        <v>280</v>
      </c>
      <c r="Q233" s="132" t="s">
        <v>273</v>
      </c>
      <c r="R233" s="132"/>
      <c r="S233" s="132"/>
      <c r="T233" s="132"/>
      <c r="U233" s="132"/>
      <c r="V233" s="132"/>
      <c r="W233" s="133"/>
      <c r="X233" s="343">
        <v>1</v>
      </c>
      <c r="Y233" s="330"/>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row>
    <row r="234" spans="1:77" ht="15.75" customHeight="1" x14ac:dyDescent="0.55000000000000004">
      <c r="A234" s="55"/>
      <c r="B234" s="337"/>
      <c r="C234" s="337"/>
      <c r="D234" s="337"/>
      <c r="E234" s="337"/>
      <c r="F234" s="337"/>
      <c r="G234" s="337"/>
      <c r="H234" s="337"/>
      <c r="I234" s="337"/>
      <c r="J234" s="337"/>
      <c r="K234" s="337"/>
      <c r="L234" s="337"/>
      <c r="M234" s="337"/>
      <c r="N234" s="337"/>
      <c r="O234" s="338"/>
      <c r="P234" s="156"/>
      <c r="Q234" s="70"/>
      <c r="R234" s="157"/>
      <c r="S234" s="158"/>
      <c r="T234" s="158"/>
      <c r="U234" s="123"/>
      <c r="V234" s="123"/>
      <c r="W234" s="124"/>
      <c r="X234" s="159"/>
      <c r="Y234" s="124"/>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row>
    <row r="235" spans="1:77" ht="15.75" customHeight="1" x14ac:dyDescent="0.55000000000000004">
      <c r="A235" s="55"/>
      <c r="B235" s="337"/>
      <c r="C235" s="337"/>
      <c r="D235" s="337"/>
      <c r="E235" s="337"/>
      <c r="F235" s="337"/>
      <c r="G235" s="337"/>
      <c r="H235" s="337"/>
      <c r="I235" s="337"/>
      <c r="J235" s="337"/>
      <c r="K235" s="337"/>
      <c r="L235" s="337"/>
      <c r="M235" s="337"/>
      <c r="N235" s="337"/>
      <c r="O235" s="338"/>
      <c r="P235" s="66"/>
      <c r="W235" s="115"/>
      <c r="X235" s="66"/>
      <c r="Y235" s="115"/>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row>
    <row r="236" spans="1:77" ht="15.75" customHeight="1" x14ac:dyDescent="0.55000000000000004">
      <c r="A236" s="55"/>
      <c r="B236" s="337"/>
      <c r="C236" s="337"/>
      <c r="D236" s="337"/>
      <c r="E236" s="337"/>
      <c r="F236" s="337"/>
      <c r="G236" s="337"/>
      <c r="H236" s="337"/>
      <c r="I236" s="337"/>
      <c r="J236" s="337"/>
      <c r="K236" s="337"/>
      <c r="L236" s="337"/>
      <c r="M236" s="337"/>
      <c r="N236" s="337"/>
      <c r="O236" s="338"/>
      <c r="P236" s="117"/>
      <c r="Q236" s="7"/>
      <c r="R236" s="7"/>
      <c r="S236" s="7"/>
      <c r="T236" s="7"/>
      <c r="U236" s="7"/>
      <c r="V236" s="7"/>
      <c r="W236" s="121"/>
      <c r="X236" s="117"/>
      <c r="Y236" s="118"/>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row>
    <row r="237" spans="1:77" ht="15.75" customHeight="1" x14ac:dyDescent="0.55000000000000004">
      <c r="A237" s="55"/>
      <c r="B237" s="337" t="s">
        <v>527</v>
      </c>
      <c r="C237" s="337"/>
      <c r="D237" s="337"/>
      <c r="E237" s="337"/>
      <c r="F237" s="337"/>
      <c r="G237" s="337"/>
      <c r="H237" s="337"/>
      <c r="I237" s="337"/>
      <c r="J237" s="337"/>
      <c r="K237" s="337"/>
      <c r="L237" s="337"/>
      <c r="M237" s="337"/>
      <c r="N237" s="337"/>
      <c r="O237" s="338"/>
      <c r="P237" s="66"/>
      <c r="W237" s="115"/>
      <c r="X237" s="66"/>
      <c r="Y237" s="115"/>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row>
    <row r="238" spans="1:77" ht="15.75" customHeight="1" x14ac:dyDescent="0.55000000000000004">
      <c r="A238" s="55"/>
      <c r="B238" s="337"/>
      <c r="C238" s="337"/>
      <c r="D238" s="337"/>
      <c r="E238" s="337"/>
      <c r="F238" s="337"/>
      <c r="G238" s="337"/>
      <c r="H238" s="337"/>
      <c r="I238" s="337"/>
      <c r="J238" s="337"/>
      <c r="K238" s="337"/>
      <c r="L238" s="337"/>
      <c r="M238" s="337"/>
      <c r="N238" s="337"/>
      <c r="O238" s="338"/>
      <c r="P238" s="117" t="s">
        <v>281</v>
      </c>
      <c r="Q238" s="7" t="s">
        <v>292</v>
      </c>
      <c r="R238" s="7"/>
      <c r="S238" s="7"/>
      <c r="T238" s="7"/>
      <c r="U238" s="7"/>
      <c r="V238" s="7"/>
      <c r="W238" s="121"/>
      <c r="X238" s="344">
        <v>0.5</v>
      </c>
      <c r="Y238" s="332"/>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row>
    <row r="239" spans="1:77" ht="15.75" customHeight="1" x14ac:dyDescent="0.55000000000000004">
      <c r="A239" s="55"/>
      <c r="B239" s="339" t="s">
        <v>528</v>
      </c>
      <c r="C239" s="339"/>
      <c r="D239" s="339"/>
      <c r="E239" s="339"/>
      <c r="F239" s="339"/>
      <c r="G239" s="339"/>
      <c r="H239" s="339"/>
      <c r="I239" s="339"/>
      <c r="J239" s="339"/>
      <c r="K239" s="339"/>
      <c r="L239" s="339"/>
      <c r="M239" s="339"/>
      <c r="N239" s="339"/>
      <c r="O239" s="340"/>
      <c r="P239" s="109"/>
      <c r="Q239" s="70"/>
      <c r="R239" s="157"/>
      <c r="S239" s="74"/>
      <c r="T239" s="74"/>
      <c r="W239" s="115"/>
      <c r="X239" s="66"/>
      <c r="Y239" s="115"/>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row>
    <row r="240" spans="1:77" ht="15.75" customHeight="1" x14ac:dyDescent="0.55000000000000004">
      <c r="A240" s="55"/>
      <c r="B240" s="337" t="s">
        <v>529</v>
      </c>
      <c r="C240" s="337"/>
      <c r="D240" s="337"/>
      <c r="E240" s="337"/>
      <c r="F240" s="337"/>
      <c r="G240" s="337"/>
      <c r="H240" s="337"/>
      <c r="I240" s="337"/>
      <c r="J240" s="337"/>
      <c r="K240" s="337"/>
      <c r="L240" s="337"/>
      <c r="M240" s="337"/>
      <c r="N240" s="337"/>
      <c r="O240" s="338"/>
      <c r="P240" s="109"/>
      <c r="Q240" s="70"/>
      <c r="R240" s="157"/>
      <c r="S240" s="74"/>
      <c r="T240" s="74"/>
      <c r="W240" s="115"/>
      <c r="X240" s="66"/>
      <c r="Y240" s="115"/>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row>
    <row r="241" spans="1:77" ht="15.75" customHeight="1" x14ac:dyDescent="0.55000000000000004">
      <c r="A241" s="55"/>
      <c r="B241" s="337"/>
      <c r="C241" s="337"/>
      <c r="D241" s="337"/>
      <c r="E241" s="337"/>
      <c r="F241" s="337"/>
      <c r="G241" s="337"/>
      <c r="H241" s="337"/>
      <c r="I241" s="337"/>
      <c r="J241" s="337"/>
      <c r="K241" s="337"/>
      <c r="L241" s="337"/>
      <c r="M241" s="337"/>
      <c r="N241" s="337"/>
      <c r="O241" s="338"/>
      <c r="P241" s="109"/>
      <c r="Q241" s="70"/>
      <c r="R241" s="157"/>
      <c r="S241" s="74"/>
      <c r="T241" s="74"/>
      <c r="W241" s="115"/>
      <c r="X241" s="66"/>
      <c r="Y241" s="115"/>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row>
    <row r="242" spans="1:77" ht="15.75" customHeight="1" x14ac:dyDescent="0.55000000000000004">
      <c r="A242" s="55"/>
      <c r="B242" s="326" t="s">
        <v>530</v>
      </c>
      <c r="C242" s="326"/>
      <c r="D242" s="326"/>
      <c r="E242" s="326"/>
      <c r="F242" s="326"/>
      <c r="G242" s="326"/>
      <c r="H242" s="326"/>
      <c r="I242" s="326"/>
      <c r="J242" s="326"/>
      <c r="K242" s="326"/>
      <c r="L242" s="326"/>
      <c r="M242" s="326"/>
      <c r="N242" s="326"/>
      <c r="O242" s="341"/>
      <c r="P242" s="109"/>
      <c r="Q242" s="70"/>
      <c r="R242" s="157"/>
      <c r="S242" s="74"/>
      <c r="T242" s="74"/>
      <c r="W242" s="115"/>
      <c r="X242" s="66"/>
      <c r="Y242" s="115"/>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row>
    <row r="243" spans="1:77" ht="15.75" customHeight="1" x14ac:dyDescent="0.55000000000000004">
      <c r="A243" s="187"/>
      <c r="B243" s="328"/>
      <c r="C243" s="328"/>
      <c r="D243" s="328"/>
      <c r="E243" s="328"/>
      <c r="F243" s="328"/>
      <c r="G243" s="328"/>
      <c r="H243" s="328"/>
      <c r="I243" s="328"/>
      <c r="J243" s="328"/>
      <c r="K243" s="328"/>
      <c r="L243" s="328"/>
      <c r="M243" s="328"/>
      <c r="N243" s="328"/>
      <c r="O243" s="342"/>
      <c r="P243" s="100" t="s">
        <v>282</v>
      </c>
      <c r="Q243" s="345" t="s">
        <v>274</v>
      </c>
      <c r="R243" s="345"/>
      <c r="S243" s="345"/>
      <c r="T243" s="345"/>
      <c r="U243" s="345"/>
      <c r="V243" s="345"/>
      <c r="W243" s="346"/>
      <c r="X243" s="333">
        <v>0</v>
      </c>
      <c r="Y243" s="334"/>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row>
    <row r="244" spans="1:77" ht="17.399999999999999" x14ac:dyDescent="0.55000000000000004">
      <c r="A244" s="614" t="s">
        <v>102</v>
      </c>
      <c r="B244" s="368"/>
      <c r="C244" s="368"/>
      <c r="D244" s="368"/>
      <c r="E244" s="368"/>
      <c r="F244" s="368"/>
      <c r="G244" s="368"/>
      <c r="H244" s="368"/>
      <c r="I244" s="368"/>
      <c r="J244" s="368"/>
      <c r="K244" s="368"/>
      <c r="L244" s="368"/>
      <c r="M244" s="368"/>
      <c r="N244" s="368"/>
      <c r="O244" s="369"/>
      <c r="P244" s="399" t="s">
        <v>50</v>
      </c>
      <c r="Q244" s="400"/>
      <c r="R244" s="400"/>
      <c r="S244" s="400"/>
      <c r="T244" s="400"/>
      <c r="U244" s="400"/>
      <c r="V244" s="400"/>
      <c r="W244" s="400"/>
      <c r="X244" s="618" t="s">
        <v>49</v>
      </c>
      <c r="Y244" s="619"/>
      <c r="Z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row>
    <row r="245" spans="1:77" ht="15.75" customHeight="1" x14ac:dyDescent="0.55000000000000004">
      <c r="A245" s="56" t="s">
        <v>75</v>
      </c>
      <c r="B245" s="354" t="s">
        <v>405</v>
      </c>
      <c r="C245" s="355"/>
      <c r="D245" s="355"/>
      <c r="E245" s="355"/>
      <c r="F245" s="355"/>
      <c r="G245" s="355"/>
      <c r="H245" s="355"/>
      <c r="I245" s="355"/>
      <c r="J245" s="355"/>
      <c r="K245" s="355"/>
      <c r="L245" s="355"/>
      <c r="M245" s="355"/>
      <c r="N245" s="355"/>
      <c r="O245" s="413"/>
      <c r="P245" s="120" t="s">
        <v>280</v>
      </c>
      <c r="Q245" s="132" t="s">
        <v>273</v>
      </c>
      <c r="R245" s="132"/>
      <c r="S245" s="132"/>
      <c r="T245" s="132"/>
      <c r="U245" s="132"/>
      <c r="V245" s="132"/>
      <c r="W245" s="133"/>
      <c r="X245" s="343">
        <v>1</v>
      </c>
      <c r="Y245" s="330"/>
      <c r="Z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row>
    <row r="246" spans="1:77" ht="15.75" customHeight="1" x14ac:dyDescent="0.55000000000000004">
      <c r="A246" s="56"/>
      <c r="B246" s="356"/>
      <c r="C246" s="357"/>
      <c r="D246" s="357"/>
      <c r="E246" s="357"/>
      <c r="F246" s="357"/>
      <c r="G246" s="357"/>
      <c r="H246" s="357"/>
      <c r="I246" s="357"/>
      <c r="J246" s="357"/>
      <c r="K246" s="357"/>
      <c r="L246" s="357"/>
      <c r="M246" s="357"/>
      <c r="N246" s="357"/>
      <c r="O246" s="415"/>
      <c r="P246" s="66"/>
      <c r="W246" s="115"/>
      <c r="X246" s="66"/>
      <c r="Y246" s="115"/>
      <c r="Z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row>
    <row r="247" spans="1:77" ht="15.75" customHeight="1" x14ac:dyDescent="0.55000000000000004">
      <c r="A247" s="56"/>
      <c r="B247" s="354" t="s">
        <v>403</v>
      </c>
      <c r="C247" s="355"/>
      <c r="D247" s="355"/>
      <c r="E247" s="355"/>
      <c r="F247" s="355"/>
      <c r="G247" s="355"/>
      <c r="H247" s="355"/>
      <c r="I247" s="355"/>
      <c r="J247" s="355"/>
      <c r="K247" s="355"/>
      <c r="L247" s="355"/>
      <c r="M247" s="355"/>
      <c r="N247" s="355"/>
      <c r="O247" s="413"/>
      <c r="P247" s="117" t="s">
        <v>281</v>
      </c>
      <c r="Q247" s="358" t="s">
        <v>399</v>
      </c>
      <c r="R247" s="358"/>
      <c r="S247" s="358"/>
      <c r="T247" s="358"/>
      <c r="U247" s="358"/>
      <c r="V247" s="358"/>
      <c r="W247" s="359"/>
      <c r="X247" s="344">
        <v>0.5</v>
      </c>
      <c r="Y247" s="332"/>
      <c r="Z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row>
    <row r="248" spans="1:77" ht="15.75" customHeight="1" x14ac:dyDescent="0.55000000000000004">
      <c r="A248" s="56" t="s">
        <v>13</v>
      </c>
      <c r="B248" s="356"/>
      <c r="C248" s="357"/>
      <c r="D248" s="357"/>
      <c r="E248" s="357"/>
      <c r="F248" s="357"/>
      <c r="G248" s="357"/>
      <c r="H248" s="357"/>
      <c r="I248" s="357"/>
      <c r="J248" s="357"/>
      <c r="K248" s="357"/>
      <c r="L248" s="357"/>
      <c r="M248" s="357"/>
      <c r="N248" s="357"/>
      <c r="O248" s="415"/>
      <c r="P248" s="344" t="s">
        <v>282</v>
      </c>
      <c r="Q248" s="358" t="s">
        <v>398</v>
      </c>
      <c r="R248" s="358"/>
      <c r="S248" s="358"/>
      <c r="T248" s="358"/>
      <c r="U248" s="358"/>
      <c r="V248" s="358"/>
      <c r="W248" s="359"/>
      <c r="X248" s="396">
        <v>0</v>
      </c>
      <c r="Y248" s="397"/>
      <c r="Z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row>
    <row r="249" spans="1:77" ht="15.75" customHeight="1" x14ac:dyDescent="0.55000000000000004">
      <c r="A249" s="56" t="s">
        <v>72</v>
      </c>
      <c r="B249" s="417" t="s">
        <v>404</v>
      </c>
      <c r="C249" s="417"/>
      <c r="D249" s="417"/>
      <c r="E249" s="417"/>
      <c r="F249" s="417"/>
      <c r="G249" s="417"/>
      <c r="H249" s="417"/>
      <c r="I249" s="417"/>
      <c r="J249" s="417"/>
      <c r="K249" s="417"/>
      <c r="L249" s="417"/>
      <c r="M249" s="417"/>
      <c r="N249" s="417"/>
      <c r="O249" s="418"/>
      <c r="P249" s="344"/>
      <c r="Q249" s="358"/>
      <c r="R249" s="358"/>
      <c r="S249" s="358"/>
      <c r="T249" s="358"/>
      <c r="U249" s="358"/>
      <c r="V249" s="358"/>
      <c r="W249" s="359"/>
      <c r="X249" s="396"/>
      <c r="Y249" s="397"/>
      <c r="Z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row>
    <row r="250" spans="1:77" ht="15.75" customHeight="1" x14ac:dyDescent="0.55000000000000004">
      <c r="A250" s="56"/>
      <c r="B250" s="420"/>
      <c r="C250" s="420"/>
      <c r="D250" s="420"/>
      <c r="E250" s="420"/>
      <c r="F250" s="420"/>
      <c r="G250" s="420"/>
      <c r="H250" s="420"/>
      <c r="I250" s="420"/>
      <c r="J250" s="420"/>
      <c r="K250" s="420"/>
      <c r="L250" s="420"/>
      <c r="M250" s="420"/>
      <c r="N250" s="420"/>
      <c r="O250" s="420"/>
      <c r="P250" s="100" t="s">
        <v>282</v>
      </c>
      <c r="Q250" s="345" t="s">
        <v>274</v>
      </c>
      <c r="R250" s="345"/>
      <c r="S250" s="345"/>
      <c r="T250" s="345"/>
      <c r="U250" s="345"/>
      <c r="V250" s="345"/>
      <c r="W250" s="346"/>
      <c r="X250" s="333">
        <v>0</v>
      </c>
      <c r="Y250" s="334"/>
      <c r="Z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row>
    <row r="251" spans="1:77" ht="15.75" customHeight="1" x14ac:dyDescent="0.55000000000000004">
      <c r="A251" s="615"/>
      <c r="B251" s="616"/>
      <c r="C251" s="616"/>
      <c r="D251" s="616"/>
      <c r="E251" s="616"/>
      <c r="F251" s="616"/>
      <c r="G251" s="616"/>
      <c r="H251" s="616"/>
      <c r="I251" s="616"/>
      <c r="J251" s="616"/>
      <c r="K251" s="616"/>
      <c r="L251" s="616"/>
      <c r="M251" s="616"/>
      <c r="N251" s="616"/>
      <c r="O251" s="616"/>
      <c r="P251" s="616"/>
      <c r="Q251" s="616"/>
      <c r="R251" s="616"/>
      <c r="S251" s="616"/>
      <c r="T251" s="616"/>
      <c r="U251" s="616"/>
      <c r="V251" s="616"/>
      <c r="W251" s="616"/>
      <c r="X251" s="616"/>
      <c r="Y251" s="617"/>
      <c r="Z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row>
    <row r="252" spans="1:77" ht="15.75" customHeight="1" x14ac:dyDescent="0.55000000000000004">
      <c r="A252" s="620" t="s">
        <v>141</v>
      </c>
      <c r="B252" s="620"/>
      <c r="C252" s="620"/>
      <c r="D252" s="620"/>
      <c r="E252" s="620"/>
      <c r="F252" s="620"/>
      <c r="G252" s="620"/>
      <c r="H252" s="620"/>
      <c r="I252" s="620"/>
      <c r="J252" s="620"/>
      <c r="K252" s="620"/>
      <c r="L252" s="620"/>
      <c r="M252" s="620"/>
      <c r="N252" s="620"/>
      <c r="O252" s="620"/>
      <c r="P252" s="620"/>
      <c r="Q252" s="620"/>
      <c r="R252" s="620"/>
      <c r="S252" s="620"/>
      <c r="T252" s="620"/>
      <c r="U252" s="620"/>
      <c r="V252" s="620"/>
      <c r="W252" s="620"/>
      <c r="X252" s="620"/>
      <c r="Y252" s="620"/>
      <c r="Z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row>
    <row r="253" spans="1:77" ht="15.75" customHeight="1" x14ac:dyDescent="0.55000000000000004">
      <c r="A253" s="621" t="s">
        <v>103</v>
      </c>
      <c r="B253" s="621"/>
      <c r="C253" s="621"/>
      <c r="D253" s="621"/>
      <c r="E253" s="621"/>
      <c r="F253" s="621"/>
      <c r="G253" s="621"/>
      <c r="H253" s="621"/>
      <c r="I253" s="621"/>
      <c r="J253" s="621"/>
      <c r="K253" s="621"/>
      <c r="L253" s="621"/>
      <c r="M253" s="621"/>
      <c r="N253" s="622"/>
      <c r="O253" s="623"/>
      <c r="P253" s="623"/>
      <c r="Q253" s="623"/>
      <c r="R253" s="623"/>
      <c r="S253" s="623"/>
      <c r="T253" s="623"/>
      <c r="U253" s="623"/>
      <c r="V253" s="623"/>
      <c r="W253" s="623"/>
      <c r="X253" s="623"/>
      <c r="Y253" s="624"/>
      <c r="Z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row>
    <row r="254" spans="1:77" ht="15.75" customHeight="1" x14ac:dyDescent="0.55000000000000004">
      <c r="A254" s="54"/>
      <c r="B254" s="347" t="s">
        <v>104</v>
      </c>
      <c r="C254" s="348"/>
      <c r="D254" s="348"/>
      <c r="E254" s="348"/>
      <c r="F254" s="348"/>
      <c r="G254" s="348"/>
      <c r="H254" s="348"/>
      <c r="I254" s="348"/>
      <c r="J254" s="348"/>
      <c r="K254" s="348"/>
      <c r="L254" s="348"/>
      <c r="M254" s="348"/>
      <c r="N254" s="348"/>
      <c r="O254" s="349"/>
      <c r="P254" s="402" t="s">
        <v>50</v>
      </c>
      <c r="Q254" s="403"/>
      <c r="R254" s="403"/>
      <c r="S254" s="403"/>
      <c r="T254" s="403"/>
      <c r="U254" s="403"/>
      <c r="V254" s="403"/>
      <c r="W254" s="403"/>
      <c r="X254" s="392" t="s">
        <v>49</v>
      </c>
      <c r="Y254" s="393"/>
      <c r="Z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row>
    <row r="255" spans="1:77" ht="15.75" customHeight="1" x14ac:dyDescent="0.55000000000000004">
      <c r="A255" s="54"/>
      <c r="B255" s="46" t="s">
        <v>75</v>
      </c>
      <c r="C255" s="323" t="s">
        <v>408</v>
      </c>
      <c r="D255" s="324"/>
      <c r="E255" s="324"/>
      <c r="F255" s="324"/>
      <c r="G255" s="324"/>
      <c r="H255" s="324"/>
      <c r="I255" s="324"/>
      <c r="J255" s="324"/>
      <c r="K255" s="324"/>
      <c r="L255" s="324"/>
      <c r="M255" s="324"/>
      <c r="N255" s="324"/>
      <c r="O255" s="384"/>
      <c r="P255" s="120" t="s">
        <v>280</v>
      </c>
      <c r="Q255" s="132" t="s">
        <v>273</v>
      </c>
      <c r="R255" s="132"/>
      <c r="S255" s="132"/>
      <c r="T255" s="132"/>
      <c r="U255" s="132"/>
      <c r="V255" s="132"/>
      <c r="W255" s="133"/>
      <c r="X255" s="343">
        <v>1</v>
      </c>
      <c r="Y255" s="330"/>
      <c r="Z255" s="1"/>
      <c r="AA255" s="163"/>
      <c r="AB255" s="122"/>
      <c r="AC255" s="122"/>
      <c r="AD255" s="122"/>
      <c r="AE255" s="122"/>
      <c r="AF255" s="122"/>
      <c r="AG255" s="122"/>
      <c r="AH255" s="122"/>
      <c r="AI255" s="122"/>
      <c r="AJ255" s="122"/>
      <c r="AK255" s="122"/>
      <c r="AL255" s="122"/>
      <c r="AM255" s="122"/>
      <c r="AN255" s="122"/>
      <c r="AO255" s="122"/>
      <c r="AP255" s="122"/>
      <c r="AQ255" s="122"/>
      <c r="AR255" s="122"/>
      <c r="AS255" s="122"/>
      <c r="AT255" s="122"/>
      <c r="AU255" s="122"/>
      <c r="AV255" s="122"/>
      <c r="AW255" s="122"/>
      <c r="AX255" s="122"/>
      <c r="AY255" s="122"/>
      <c r="AZ255" s="122"/>
      <c r="BA255" s="122"/>
      <c r="BB255" s="122"/>
      <c r="BC255" s="122"/>
      <c r="BD255" s="122"/>
      <c r="BE255" s="122"/>
      <c r="BF255" s="122"/>
      <c r="BG255" s="122"/>
      <c r="BH255" s="122"/>
      <c r="BI255" s="122"/>
      <c r="BJ255" s="122"/>
      <c r="BK255" s="122"/>
      <c r="BL255" s="122"/>
      <c r="BM255" s="122"/>
      <c r="BN255" s="122"/>
      <c r="BO255" s="122"/>
      <c r="BP255" s="122"/>
      <c r="BQ255" s="122"/>
      <c r="BR255" s="122"/>
      <c r="BS255" s="122"/>
      <c r="BT255" s="122"/>
      <c r="BU255" s="1"/>
      <c r="BV255" s="1"/>
      <c r="BW255" s="1"/>
      <c r="BX255" s="1"/>
      <c r="BY255" s="1"/>
    </row>
    <row r="256" spans="1:77" ht="15.75" customHeight="1" x14ac:dyDescent="0.55000000000000004">
      <c r="A256" s="54"/>
      <c r="B256" s="46"/>
      <c r="C256" s="325"/>
      <c r="D256" s="326"/>
      <c r="E256" s="326"/>
      <c r="F256" s="326"/>
      <c r="G256" s="326"/>
      <c r="H256" s="326"/>
      <c r="I256" s="326"/>
      <c r="J256" s="326"/>
      <c r="K256" s="326"/>
      <c r="L256" s="326"/>
      <c r="M256" s="326"/>
      <c r="N256" s="326"/>
      <c r="O256" s="341"/>
      <c r="P256" s="66"/>
      <c r="W256" s="115"/>
      <c r="X256" s="66"/>
      <c r="Y256" s="115"/>
      <c r="Z256" s="1"/>
      <c r="AA256" s="163"/>
      <c r="AB256" s="122"/>
      <c r="AC256" s="122"/>
      <c r="AD256" s="122"/>
      <c r="AE256" s="122"/>
      <c r="AF256" s="122"/>
      <c r="AG256" s="122"/>
      <c r="AH256" s="122"/>
      <c r="AI256" s="122"/>
      <c r="AJ256" s="122"/>
      <c r="AK256" s="122"/>
      <c r="AL256" s="122"/>
      <c r="AM256" s="122"/>
      <c r="AN256" s="122"/>
      <c r="AO256" s="122"/>
      <c r="AP256" s="122"/>
      <c r="AQ256" s="122"/>
      <c r="AR256" s="122"/>
      <c r="AS256" s="122"/>
      <c r="AT256" s="122"/>
      <c r="AU256" s="122"/>
      <c r="AV256" s="122"/>
      <c r="AW256" s="122"/>
      <c r="AX256" s="122"/>
      <c r="AY256" s="122"/>
      <c r="AZ256" s="122"/>
      <c r="BA256" s="122"/>
      <c r="BB256" s="122"/>
      <c r="BC256" s="122"/>
      <c r="BD256" s="122"/>
      <c r="BE256" s="122"/>
      <c r="BF256" s="122"/>
      <c r="BG256" s="122"/>
      <c r="BH256" s="122"/>
      <c r="BI256" s="122"/>
      <c r="BJ256" s="122"/>
      <c r="BK256" s="122"/>
      <c r="BL256" s="122"/>
      <c r="BM256" s="122"/>
      <c r="BN256" s="122"/>
      <c r="BO256" s="122"/>
      <c r="BP256" s="122"/>
      <c r="BQ256" s="122"/>
      <c r="BR256" s="122"/>
      <c r="BS256" s="122"/>
      <c r="BT256" s="122"/>
      <c r="BU256" s="1"/>
      <c r="BV256" s="1"/>
      <c r="BW256" s="1"/>
      <c r="BX256" s="1"/>
      <c r="BY256" s="1"/>
    </row>
    <row r="257" spans="1:77" ht="15.75" customHeight="1" x14ac:dyDescent="0.55000000000000004">
      <c r="A257" s="54"/>
      <c r="B257" s="46"/>
      <c r="C257" s="327"/>
      <c r="D257" s="328"/>
      <c r="E257" s="328"/>
      <c r="F257" s="328"/>
      <c r="G257" s="328"/>
      <c r="H257" s="328"/>
      <c r="I257" s="328"/>
      <c r="J257" s="328"/>
      <c r="K257" s="328"/>
      <c r="L257" s="328"/>
      <c r="M257" s="328"/>
      <c r="N257" s="328"/>
      <c r="O257" s="342"/>
      <c r="P257" s="117" t="s">
        <v>281</v>
      </c>
      <c r="Q257" s="358" t="s">
        <v>292</v>
      </c>
      <c r="R257" s="358"/>
      <c r="S257" s="358"/>
      <c r="T257" s="358"/>
      <c r="U257" s="358"/>
      <c r="V257" s="358"/>
      <c r="W257" s="359"/>
      <c r="X257" s="344">
        <v>0.5</v>
      </c>
      <c r="Y257" s="332"/>
      <c r="Z257" s="1"/>
      <c r="AA257" s="163"/>
      <c r="AB257" s="122"/>
      <c r="AC257" s="122"/>
      <c r="AD257" s="122"/>
      <c r="AE257" s="122"/>
      <c r="AF257" s="122"/>
      <c r="AG257" s="122"/>
      <c r="AH257" s="122"/>
      <c r="AI257" s="122"/>
      <c r="AJ257" s="122"/>
      <c r="AK257" s="122"/>
      <c r="AL257" s="122"/>
      <c r="AM257" s="122"/>
      <c r="AN257" s="122"/>
      <c r="AO257" s="122"/>
      <c r="AP257" s="122"/>
      <c r="AQ257" s="122"/>
      <c r="AR257" s="122"/>
      <c r="AS257" s="122"/>
      <c r="AT257" s="122"/>
      <c r="AU257" s="122"/>
      <c r="AV257" s="122"/>
      <c r="AW257" s="122"/>
      <c r="AX257" s="122"/>
      <c r="AY257" s="122"/>
      <c r="AZ257" s="122"/>
      <c r="BA257" s="122"/>
      <c r="BB257" s="122"/>
      <c r="BC257" s="122"/>
      <c r="BD257" s="122"/>
      <c r="BE257" s="122"/>
      <c r="BF257" s="122"/>
      <c r="BG257" s="122"/>
      <c r="BH257" s="122"/>
      <c r="BI257" s="122"/>
      <c r="BJ257" s="122"/>
      <c r="BK257" s="122"/>
      <c r="BL257" s="122"/>
      <c r="BM257" s="122"/>
      <c r="BN257" s="122"/>
      <c r="BO257" s="122"/>
      <c r="BP257" s="122"/>
      <c r="BQ257" s="122"/>
      <c r="BR257" s="122"/>
      <c r="BS257" s="122"/>
      <c r="BT257" s="122"/>
      <c r="BU257" s="1"/>
      <c r="BV257" s="1"/>
      <c r="BW257" s="1"/>
      <c r="BX257" s="1"/>
      <c r="BY257" s="1"/>
    </row>
    <row r="258" spans="1:77" ht="15.75" customHeight="1" x14ac:dyDescent="0.55000000000000004">
      <c r="A258" s="54"/>
      <c r="B258" s="46" t="s">
        <v>13</v>
      </c>
      <c r="C258" s="323" t="s">
        <v>409</v>
      </c>
      <c r="D258" s="324"/>
      <c r="E258" s="324"/>
      <c r="F258" s="324"/>
      <c r="G258" s="324"/>
      <c r="H258" s="324"/>
      <c r="I258" s="324"/>
      <c r="J258" s="324"/>
      <c r="K258" s="324"/>
      <c r="L258" s="324"/>
      <c r="M258" s="324"/>
      <c r="N258" s="324"/>
      <c r="O258" s="384"/>
      <c r="P258" s="66"/>
      <c r="W258" s="115"/>
      <c r="X258" s="66"/>
      <c r="Y258" s="115"/>
      <c r="Z258" s="1"/>
      <c r="AA258" s="163"/>
      <c r="AB258" s="122"/>
      <c r="AC258" s="122"/>
      <c r="AD258" s="122"/>
      <c r="AE258" s="122"/>
      <c r="AF258" s="122"/>
      <c r="AG258" s="122"/>
      <c r="AH258" s="122"/>
      <c r="AI258" s="122"/>
      <c r="AJ258" s="122"/>
      <c r="AK258" s="122"/>
      <c r="AL258" s="122"/>
      <c r="AM258" s="122"/>
      <c r="AN258" s="122"/>
      <c r="AO258" s="122"/>
      <c r="AP258" s="122"/>
      <c r="AQ258" s="122"/>
      <c r="AR258" s="122"/>
      <c r="AS258" s="122"/>
      <c r="AT258" s="122"/>
      <c r="AU258" s="122"/>
      <c r="AV258" s="122"/>
      <c r="AW258" s="122"/>
      <c r="AX258" s="122"/>
      <c r="AY258" s="122"/>
      <c r="AZ258" s="122"/>
      <c r="BA258" s="122"/>
      <c r="BB258" s="122"/>
      <c r="BC258" s="122"/>
      <c r="BD258" s="122"/>
      <c r="BE258" s="122"/>
      <c r="BF258" s="122"/>
      <c r="BG258" s="122"/>
      <c r="BH258" s="122"/>
      <c r="BI258" s="122"/>
      <c r="BJ258" s="122"/>
      <c r="BK258" s="122"/>
      <c r="BL258" s="122"/>
      <c r="BM258" s="122"/>
      <c r="BN258" s="122"/>
      <c r="BO258" s="122"/>
      <c r="BP258" s="122"/>
      <c r="BQ258" s="122"/>
      <c r="BR258" s="122"/>
      <c r="BS258" s="122"/>
      <c r="BT258" s="122"/>
      <c r="BU258" s="1"/>
      <c r="BV258" s="1"/>
      <c r="BW258" s="1"/>
      <c r="BX258" s="1"/>
      <c r="BY258" s="1"/>
    </row>
    <row r="259" spans="1:77" ht="15.75" customHeight="1" x14ac:dyDescent="0.55000000000000004">
      <c r="A259" s="54"/>
      <c r="B259" s="46"/>
      <c r="C259" s="327"/>
      <c r="D259" s="328"/>
      <c r="E259" s="328"/>
      <c r="F259" s="328"/>
      <c r="G259" s="328"/>
      <c r="H259" s="328"/>
      <c r="I259" s="328"/>
      <c r="J259" s="328"/>
      <c r="K259" s="328"/>
      <c r="L259" s="328"/>
      <c r="M259" s="328"/>
      <c r="N259" s="328"/>
      <c r="O259" s="342"/>
      <c r="P259" s="117" t="s">
        <v>282</v>
      </c>
      <c r="Q259" s="7" t="s">
        <v>411</v>
      </c>
      <c r="R259" s="7"/>
      <c r="S259" s="7"/>
      <c r="T259" s="7"/>
      <c r="U259" s="7"/>
      <c r="V259" s="7"/>
      <c r="W259" s="121"/>
      <c r="X259" s="396">
        <v>0</v>
      </c>
      <c r="Y259" s="397"/>
      <c r="Z259" s="1"/>
      <c r="AA259" s="163"/>
      <c r="AB259" s="122"/>
      <c r="AC259" s="122"/>
      <c r="AD259" s="122"/>
      <c r="AE259" s="122"/>
      <c r="AF259" s="122"/>
      <c r="AG259" s="122"/>
      <c r="AH259" s="122"/>
      <c r="AI259" s="122"/>
      <c r="AJ259" s="122"/>
      <c r="AK259" s="122"/>
      <c r="AL259" s="122"/>
      <c r="AM259" s="122"/>
      <c r="AN259" s="122"/>
      <c r="AO259" s="122"/>
      <c r="AP259" s="122"/>
      <c r="AQ259" s="122"/>
      <c r="AR259" s="122"/>
      <c r="AS259" s="122"/>
      <c r="AT259" s="122"/>
      <c r="AU259" s="122"/>
      <c r="AV259" s="122"/>
      <c r="AW259" s="122"/>
      <c r="AX259" s="122"/>
      <c r="AY259" s="122"/>
      <c r="AZ259" s="122"/>
      <c r="BA259" s="122"/>
      <c r="BB259" s="122"/>
      <c r="BC259" s="122"/>
      <c r="BD259" s="122"/>
      <c r="BE259" s="122"/>
      <c r="BF259" s="122"/>
      <c r="BG259" s="122"/>
      <c r="BH259" s="122"/>
      <c r="BI259" s="122"/>
      <c r="BJ259" s="122"/>
      <c r="BK259" s="122"/>
      <c r="BL259" s="122"/>
      <c r="BM259" s="122"/>
      <c r="BN259" s="122"/>
      <c r="BO259" s="122"/>
      <c r="BP259" s="122"/>
      <c r="BQ259" s="122"/>
      <c r="BR259" s="122"/>
      <c r="BS259" s="122"/>
      <c r="BT259" s="122"/>
      <c r="BU259" s="1"/>
      <c r="BV259" s="1"/>
      <c r="BW259" s="1"/>
      <c r="BX259" s="1"/>
      <c r="BY259" s="1"/>
    </row>
    <row r="260" spans="1:77" ht="15.75" customHeight="1" x14ac:dyDescent="0.55000000000000004">
      <c r="A260" s="54"/>
      <c r="B260" s="46" t="s">
        <v>13</v>
      </c>
      <c r="C260" s="394" t="s">
        <v>410</v>
      </c>
      <c r="D260" s="380"/>
      <c r="E260" s="380"/>
      <c r="F260" s="380"/>
      <c r="G260" s="380"/>
      <c r="H260" s="380"/>
      <c r="I260" s="380"/>
      <c r="J260" s="380"/>
      <c r="K260" s="380"/>
      <c r="L260" s="380"/>
      <c r="M260" s="380"/>
      <c r="N260" s="380"/>
      <c r="O260" s="381"/>
      <c r="P260" s="66"/>
      <c r="W260" s="115"/>
      <c r="X260" s="66"/>
      <c r="Y260" s="115"/>
      <c r="Z260" s="1"/>
      <c r="AA260" s="164"/>
      <c r="AB260" s="122"/>
      <c r="AC260" s="122"/>
      <c r="AD260" s="122"/>
      <c r="AE260" s="122"/>
      <c r="AF260" s="122"/>
      <c r="AG260" s="122"/>
      <c r="AH260" s="122"/>
      <c r="AI260" s="122"/>
      <c r="AJ260" s="122"/>
      <c r="AK260" s="122"/>
      <c r="AL260" s="122"/>
      <c r="AM260" s="122"/>
      <c r="AN260" s="122"/>
      <c r="AO260" s="122"/>
      <c r="AP260" s="122"/>
      <c r="AQ260" s="122"/>
      <c r="AR260" s="122"/>
      <c r="AS260" s="122"/>
      <c r="AT260" s="122"/>
      <c r="AU260" s="122"/>
      <c r="AV260" s="122"/>
      <c r="AW260" s="122"/>
      <c r="AX260" s="122"/>
      <c r="AY260" s="122"/>
      <c r="AZ260" s="122"/>
      <c r="BA260" s="122"/>
      <c r="BB260" s="122"/>
      <c r="BC260" s="122"/>
      <c r="BD260" s="122"/>
      <c r="BE260" s="122"/>
      <c r="BF260" s="122"/>
      <c r="BG260" s="122"/>
      <c r="BH260" s="122"/>
      <c r="BI260" s="122"/>
      <c r="BJ260" s="122"/>
      <c r="BK260" s="122"/>
      <c r="BL260" s="122"/>
      <c r="BM260" s="122"/>
      <c r="BN260" s="122"/>
      <c r="BO260" s="122"/>
      <c r="BP260" s="122"/>
      <c r="BQ260" s="122"/>
      <c r="BR260" s="122"/>
      <c r="BS260" s="122"/>
      <c r="BT260" s="122"/>
      <c r="BU260" s="1"/>
      <c r="BV260" s="1"/>
      <c r="BW260" s="1"/>
      <c r="BX260" s="1"/>
      <c r="BY260" s="1"/>
    </row>
    <row r="261" spans="1:77" ht="15.75" customHeight="1" x14ac:dyDescent="0.55000000000000004">
      <c r="A261" s="54"/>
      <c r="B261" s="46"/>
      <c r="C261" s="395"/>
      <c r="D261" s="382"/>
      <c r="E261" s="382"/>
      <c r="F261" s="382"/>
      <c r="G261" s="382"/>
      <c r="H261" s="382"/>
      <c r="I261" s="382"/>
      <c r="J261" s="382"/>
      <c r="K261" s="382"/>
      <c r="L261" s="382"/>
      <c r="M261" s="382"/>
      <c r="N261" s="382"/>
      <c r="O261" s="383"/>
      <c r="P261" s="100" t="s">
        <v>282</v>
      </c>
      <c r="Q261" s="345" t="s">
        <v>274</v>
      </c>
      <c r="R261" s="345"/>
      <c r="S261" s="345"/>
      <c r="T261" s="345"/>
      <c r="U261" s="345"/>
      <c r="V261" s="345"/>
      <c r="W261" s="346"/>
      <c r="X261" s="333">
        <v>0</v>
      </c>
      <c r="Y261" s="334"/>
      <c r="Z261" s="1"/>
      <c r="AA261" s="164"/>
      <c r="AB261" s="122"/>
      <c r="AC261" s="122"/>
      <c r="AD261" s="122"/>
      <c r="AE261" s="122"/>
      <c r="AF261" s="122"/>
      <c r="AG261" s="122"/>
      <c r="AH261" s="122"/>
      <c r="AI261" s="122"/>
      <c r="AJ261" s="122"/>
      <c r="AK261" s="122"/>
      <c r="AL261" s="122"/>
      <c r="AM261" s="122"/>
      <c r="AN261" s="122"/>
      <c r="AO261" s="122"/>
      <c r="AP261" s="122"/>
      <c r="AQ261" s="122"/>
      <c r="AR261" s="122"/>
      <c r="AS261" s="122"/>
      <c r="AT261" s="122"/>
      <c r="AU261" s="122"/>
      <c r="AV261" s="122"/>
      <c r="AW261" s="122"/>
      <c r="AX261" s="122"/>
      <c r="AY261" s="122"/>
      <c r="AZ261" s="122"/>
      <c r="BA261" s="122"/>
      <c r="BB261" s="122"/>
      <c r="BC261" s="122"/>
      <c r="BD261" s="122"/>
      <c r="BE261" s="122"/>
      <c r="BF261" s="122"/>
      <c r="BG261" s="122"/>
      <c r="BH261" s="122"/>
      <c r="BI261" s="122"/>
      <c r="BJ261" s="122"/>
      <c r="BK261" s="122"/>
      <c r="BL261" s="122"/>
      <c r="BM261" s="122"/>
      <c r="BN261" s="122"/>
      <c r="BO261" s="122"/>
      <c r="BP261" s="122"/>
      <c r="BQ261" s="122"/>
      <c r="BR261" s="122"/>
      <c r="BS261" s="122"/>
      <c r="BT261" s="122"/>
      <c r="BU261" s="1"/>
      <c r="BV261" s="1"/>
      <c r="BW261" s="1"/>
      <c r="BX261" s="1"/>
      <c r="BY261" s="1"/>
    </row>
    <row r="262" spans="1:77" ht="36" customHeight="1" x14ac:dyDescent="0.55000000000000004">
      <c r="A262" s="54"/>
      <c r="B262" s="533" t="s">
        <v>105</v>
      </c>
      <c r="C262" s="459"/>
      <c r="D262" s="459"/>
      <c r="E262" s="459"/>
      <c r="F262" s="459"/>
      <c r="G262" s="459"/>
      <c r="H262" s="459"/>
      <c r="I262" s="459"/>
      <c r="J262" s="459"/>
      <c r="K262" s="459"/>
      <c r="L262" s="459"/>
      <c r="M262" s="459"/>
      <c r="N262" s="459"/>
      <c r="O262" s="460"/>
      <c r="P262" s="350" t="s">
        <v>50</v>
      </c>
      <c r="Q262" s="351"/>
      <c r="R262" s="351"/>
      <c r="S262" s="351"/>
      <c r="T262" s="351"/>
      <c r="U262" s="351"/>
      <c r="V262" s="351"/>
      <c r="W262" s="351"/>
      <c r="X262" s="392" t="s">
        <v>49</v>
      </c>
      <c r="Y262" s="393"/>
      <c r="Z262" s="1"/>
      <c r="AB262" s="1"/>
      <c r="AC262" s="1"/>
      <c r="AD262" s="1"/>
      <c r="AE262" s="40"/>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row>
    <row r="263" spans="1:77" ht="15.75" customHeight="1" x14ac:dyDescent="0.55000000000000004">
      <c r="A263" s="54"/>
      <c r="B263" s="46" t="s">
        <v>72</v>
      </c>
      <c r="C263" s="394" t="s">
        <v>413</v>
      </c>
      <c r="D263" s="380"/>
      <c r="E263" s="380"/>
      <c r="F263" s="380"/>
      <c r="G263" s="380"/>
      <c r="H263" s="380"/>
      <c r="I263" s="380"/>
      <c r="J263" s="380"/>
      <c r="K263" s="380"/>
      <c r="L263" s="380"/>
      <c r="M263" s="380"/>
      <c r="N263" s="380"/>
      <c r="O263" s="381"/>
      <c r="P263" s="120" t="s">
        <v>280</v>
      </c>
      <c r="Q263" s="132" t="s">
        <v>273</v>
      </c>
      <c r="R263" s="132"/>
      <c r="S263" s="132"/>
      <c r="T263" s="132"/>
      <c r="U263" s="132"/>
      <c r="V263" s="132"/>
      <c r="W263" s="133"/>
      <c r="X263" s="343">
        <v>1</v>
      </c>
      <c r="Y263" s="330"/>
      <c r="Z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row>
    <row r="264" spans="1:77" ht="15.75" customHeight="1" x14ac:dyDescent="0.55000000000000004">
      <c r="A264" s="54"/>
      <c r="B264" s="46"/>
      <c r="C264" s="395"/>
      <c r="D264" s="382"/>
      <c r="E264" s="382"/>
      <c r="F264" s="382"/>
      <c r="G264" s="382"/>
      <c r="H264" s="382"/>
      <c r="I264" s="382"/>
      <c r="J264" s="382"/>
      <c r="K264" s="382"/>
      <c r="L264" s="382"/>
      <c r="M264" s="382"/>
      <c r="N264" s="382"/>
      <c r="O264" s="383"/>
      <c r="P264" s="66"/>
      <c r="W264" s="115"/>
      <c r="X264" s="66"/>
      <c r="Y264" s="115"/>
      <c r="Z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row>
    <row r="265" spans="1:77" ht="15.75" customHeight="1" x14ac:dyDescent="0.55000000000000004">
      <c r="A265" s="54"/>
      <c r="B265" s="46"/>
      <c r="C265" s="380" t="s">
        <v>613</v>
      </c>
      <c r="D265" s="380"/>
      <c r="E265" s="380"/>
      <c r="F265" s="380"/>
      <c r="G265" s="380"/>
      <c r="H265" s="380"/>
      <c r="I265" s="380"/>
      <c r="J265" s="380"/>
      <c r="K265" s="380"/>
      <c r="L265" s="380"/>
      <c r="M265" s="380"/>
      <c r="N265" s="380"/>
      <c r="O265" s="381"/>
      <c r="P265" s="117" t="s">
        <v>281</v>
      </c>
      <c r="Q265" s="358" t="s">
        <v>415</v>
      </c>
      <c r="R265" s="358"/>
      <c r="S265" s="358"/>
      <c r="T265" s="358"/>
      <c r="U265" s="358"/>
      <c r="V265" s="358"/>
      <c r="W265" s="359"/>
      <c r="X265" s="344">
        <v>0.5</v>
      </c>
      <c r="Y265" s="332"/>
      <c r="Z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row>
    <row r="266" spans="1:77" ht="15.75" customHeight="1" x14ac:dyDescent="0.55000000000000004">
      <c r="A266" s="54"/>
      <c r="B266" s="46"/>
      <c r="C266" s="382"/>
      <c r="D266" s="382"/>
      <c r="E266" s="382"/>
      <c r="F266" s="382"/>
      <c r="G266" s="382"/>
      <c r="H266" s="382"/>
      <c r="I266" s="382"/>
      <c r="J266" s="382"/>
      <c r="K266" s="382"/>
      <c r="L266" s="382"/>
      <c r="M266" s="382"/>
      <c r="N266" s="382"/>
      <c r="O266" s="383"/>
      <c r="P266" s="66"/>
      <c r="W266" s="115"/>
      <c r="X266" s="66"/>
      <c r="Y266" s="115"/>
      <c r="Z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row>
    <row r="267" spans="1:77" ht="15.75" customHeight="1" x14ac:dyDescent="0.55000000000000004">
      <c r="A267" s="54"/>
      <c r="B267" s="46"/>
      <c r="C267" s="324" t="s">
        <v>414</v>
      </c>
      <c r="D267" s="324"/>
      <c r="E267" s="324"/>
      <c r="F267" s="324"/>
      <c r="G267" s="324"/>
      <c r="H267" s="324"/>
      <c r="I267" s="324"/>
      <c r="J267" s="324"/>
      <c r="K267" s="324"/>
      <c r="L267" s="324"/>
      <c r="M267" s="324"/>
      <c r="N267" s="324"/>
      <c r="O267" s="384"/>
      <c r="P267" s="117" t="s">
        <v>282</v>
      </c>
      <c r="Q267" s="358" t="s">
        <v>416</v>
      </c>
      <c r="R267" s="358"/>
      <c r="S267" s="358"/>
      <c r="T267" s="358"/>
      <c r="U267" s="358"/>
      <c r="V267" s="358"/>
      <c r="W267" s="359"/>
      <c r="X267" s="396">
        <v>0</v>
      </c>
      <c r="Y267" s="397"/>
      <c r="Z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row>
    <row r="268" spans="1:77" ht="15.75" customHeight="1" x14ac:dyDescent="0.55000000000000004">
      <c r="A268" s="54"/>
      <c r="B268" s="46"/>
      <c r="C268" s="326"/>
      <c r="D268" s="326"/>
      <c r="E268" s="326"/>
      <c r="F268" s="326"/>
      <c r="G268" s="326"/>
      <c r="H268" s="326"/>
      <c r="I268" s="326"/>
      <c r="J268" s="326"/>
      <c r="K268" s="326"/>
      <c r="L268" s="326"/>
      <c r="M268" s="326"/>
      <c r="N268" s="326"/>
      <c r="O268" s="341"/>
      <c r="P268" s="66"/>
      <c r="W268" s="115"/>
      <c r="X268" s="66"/>
      <c r="Y268" s="115"/>
      <c r="Z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row>
    <row r="269" spans="1:77" ht="15.75" customHeight="1" x14ac:dyDescent="0.55000000000000004">
      <c r="A269" s="54"/>
      <c r="B269" s="46"/>
      <c r="C269" s="328"/>
      <c r="D269" s="328"/>
      <c r="E269" s="328"/>
      <c r="F269" s="328"/>
      <c r="G269" s="328"/>
      <c r="H269" s="328"/>
      <c r="I269" s="328"/>
      <c r="J269" s="328"/>
      <c r="K269" s="328"/>
      <c r="L269" s="328"/>
      <c r="M269" s="328"/>
      <c r="N269" s="328"/>
      <c r="O269" s="342"/>
      <c r="P269" s="100" t="s">
        <v>282</v>
      </c>
      <c r="Q269" s="345" t="s">
        <v>274</v>
      </c>
      <c r="R269" s="345"/>
      <c r="S269" s="345"/>
      <c r="T269" s="345"/>
      <c r="U269" s="345"/>
      <c r="V269" s="345"/>
      <c r="W269" s="346"/>
      <c r="X269" s="333">
        <v>0</v>
      </c>
      <c r="Y269" s="334"/>
      <c r="Z269" s="1"/>
      <c r="AB269" s="1"/>
      <c r="AC269" s="1"/>
      <c r="AD269" s="1"/>
      <c r="AE269" s="38"/>
      <c r="AF269" s="39"/>
      <c r="AG269" s="39"/>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row>
    <row r="270" spans="1:77" ht="15.75" customHeight="1" x14ac:dyDescent="0.55000000000000004">
      <c r="A270" s="166"/>
      <c r="B270" s="347" t="s">
        <v>106</v>
      </c>
      <c r="C270" s="348"/>
      <c r="D270" s="348"/>
      <c r="E270" s="348"/>
      <c r="F270" s="348"/>
      <c r="G270" s="348"/>
      <c r="H270" s="348"/>
      <c r="I270" s="348"/>
      <c r="J270" s="348"/>
      <c r="K270" s="348"/>
      <c r="L270" s="348"/>
      <c r="M270" s="348"/>
      <c r="N270" s="348"/>
      <c r="O270" s="349"/>
      <c r="P270" s="350" t="s">
        <v>50</v>
      </c>
      <c r="Q270" s="351"/>
      <c r="R270" s="351"/>
      <c r="S270" s="351"/>
      <c r="T270" s="351"/>
      <c r="U270" s="351"/>
      <c r="V270" s="351"/>
      <c r="W270" s="351"/>
      <c r="X270" s="392" t="s">
        <v>49</v>
      </c>
      <c r="Y270" s="393"/>
      <c r="Z270" s="1"/>
      <c r="AB270" s="1"/>
      <c r="AC270" s="1"/>
      <c r="AD270" s="1"/>
      <c r="AE270" s="41"/>
      <c r="AF270" s="41"/>
      <c r="AG270" s="4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row>
    <row r="271" spans="1:77" ht="15.75" customHeight="1" x14ac:dyDescent="0.55000000000000004">
      <c r="A271" s="56"/>
      <c r="B271" s="46" t="s">
        <v>13</v>
      </c>
      <c r="C271" s="323" t="s">
        <v>418</v>
      </c>
      <c r="D271" s="324"/>
      <c r="E271" s="324"/>
      <c r="F271" s="324"/>
      <c r="G271" s="324"/>
      <c r="H271" s="324"/>
      <c r="I271" s="324"/>
      <c r="J271" s="324"/>
      <c r="K271" s="324"/>
      <c r="L271" s="324"/>
      <c r="M271" s="324"/>
      <c r="N271" s="324"/>
      <c r="O271" s="324"/>
      <c r="P271" s="120" t="s">
        <v>280</v>
      </c>
      <c r="Q271" s="132" t="s">
        <v>273</v>
      </c>
      <c r="R271" s="132"/>
      <c r="S271" s="132"/>
      <c r="T271" s="132"/>
      <c r="U271" s="132"/>
      <c r="V271" s="132"/>
      <c r="W271" s="133"/>
      <c r="X271" s="343">
        <v>1</v>
      </c>
      <c r="Y271" s="330"/>
      <c r="Z271" s="1"/>
      <c r="AA271" s="1"/>
      <c r="AB271" s="1"/>
      <c r="AC271" s="1"/>
      <c r="AD271" s="1"/>
      <c r="AE271" s="44"/>
      <c r="AF271" s="44"/>
      <c r="AG271" s="44"/>
      <c r="AH271" s="44"/>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row>
    <row r="272" spans="1:77" ht="15.75" customHeight="1" x14ac:dyDescent="0.55000000000000004">
      <c r="A272" s="56"/>
      <c r="B272" s="46"/>
      <c r="C272" s="325"/>
      <c r="D272" s="326"/>
      <c r="E272" s="326"/>
      <c r="F272" s="326"/>
      <c r="G272" s="326"/>
      <c r="H272" s="326"/>
      <c r="I272" s="326"/>
      <c r="J272" s="326"/>
      <c r="K272" s="326"/>
      <c r="L272" s="326"/>
      <c r="M272" s="326"/>
      <c r="N272" s="326"/>
      <c r="O272" s="326"/>
      <c r="P272" s="66"/>
      <c r="W272" s="115"/>
      <c r="X272" s="66"/>
      <c r="Y272" s="115"/>
      <c r="Z272" s="1"/>
      <c r="AA272" s="1"/>
      <c r="AB272" s="1"/>
      <c r="AC272" s="1"/>
      <c r="AD272" s="1"/>
      <c r="AE272" s="44"/>
      <c r="AF272" s="44"/>
      <c r="AG272" s="44"/>
      <c r="AH272" s="44"/>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row>
    <row r="273" spans="1:77" ht="15.75" customHeight="1" x14ac:dyDescent="0.55000000000000004">
      <c r="A273" s="56"/>
      <c r="B273" s="46"/>
      <c r="C273" s="324" t="s">
        <v>420</v>
      </c>
      <c r="D273" s="324"/>
      <c r="E273" s="324"/>
      <c r="F273" s="324"/>
      <c r="G273" s="324"/>
      <c r="H273" s="324"/>
      <c r="I273" s="324"/>
      <c r="J273" s="324"/>
      <c r="K273" s="324"/>
      <c r="L273" s="324"/>
      <c r="M273" s="324"/>
      <c r="N273" s="324"/>
      <c r="O273" s="324"/>
      <c r="P273" s="344" t="s">
        <v>281</v>
      </c>
      <c r="Q273" s="358" t="s">
        <v>292</v>
      </c>
      <c r="R273" s="358"/>
      <c r="S273" s="358"/>
      <c r="T273" s="358"/>
      <c r="U273" s="358"/>
      <c r="V273" s="358"/>
      <c r="W273" s="359"/>
      <c r="X273" s="344">
        <v>0.5</v>
      </c>
      <c r="Y273" s="332"/>
      <c r="Z273" s="1"/>
      <c r="AA273" s="1"/>
      <c r="AB273" s="1"/>
      <c r="AC273" s="1"/>
      <c r="AD273" s="1"/>
      <c r="AE273" s="44"/>
      <c r="AF273" s="44"/>
      <c r="AG273" s="44"/>
      <c r="AH273" s="44"/>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row>
    <row r="274" spans="1:77" ht="15.75" customHeight="1" x14ac:dyDescent="0.55000000000000004">
      <c r="A274" s="56"/>
      <c r="B274" s="46"/>
      <c r="C274" s="326"/>
      <c r="D274" s="326"/>
      <c r="E274" s="326"/>
      <c r="F274" s="326"/>
      <c r="G274" s="326"/>
      <c r="H274" s="326"/>
      <c r="I274" s="326"/>
      <c r="J274" s="326"/>
      <c r="K274" s="326"/>
      <c r="L274" s="326"/>
      <c r="M274" s="326"/>
      <c r="N274" s="326"/>
      <c r="O274" s="326"/>
      <c r="P274" s="344"/>
      <c r="Q274" s="358"/>
      <c r="R274" s="358"/>
      <c r="S274" s="358"/>
      <c r="T274" s="358"/>
      <c r="U274" s="358"/>
      <c r="V274" s="358"/>
      <c r="W274" s="359"/>
      <c r="X274" s="344"/>
      <c r="Y274" s="332"/>
      <c r="Z274" s="1"/>
      <c r="AA274" s="1"/>
      <c r="AB274" s="1"/>
      <c r="AC274" s="1"/>
      <c r="AD274" s="1"/>
      <c r="AE274" s="44"/>
      <c r="AF274" s="44"/>
      <c r="AG274" s="44"/>
      <c r="AH274" s="44"/>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row>
    <row r="275" spans="1:77" ht="15.75" customHeight="1" x14ac:dyDescent="0.55000000000000004">
      <c r="A275" s="56"/>
      <c r="B275" s="46"/>
      <c r="C275" s="326"/>
      <c r="D275" s="326"/>
      <c r="E275" s="326"/>
      <c r="F275" s="326"/>
      <c r="G275" s="326"/>
      <c r="H275" s="326"/>
      <c r="I275" s="326"/>
      <c r="J275" s="326"/>
      <c r="K275" s="326"/>
      <c r="L275" s="326"/>
      <c r="M275" s="326"/>
      <c r="N275" s="326"/>
      <c r="O275" s="326"/>
      <c r="P275" s="66"/>
      <c r="W275" s="115"/>
      <c r="X275" s="66"/>
      <c r="Y275" s="115"/>
      <c r="Z275" s="1"/>
      <c r="AA275" s="1"/>
      <c r="AB275" s="1"/>
      <c r="AC275" s="1"/>
      <c r="AD275" s="1"/>
      <c r="AE275" s="44"/>
      <c r="AF275" s="44"/>
      <c r="AG275" s="44"/>
      <c r="AH275" s="44"/>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row>
    <row r="276" spans="1:77" ht="15.75" customHeight="1" x14ac:dyDescent="0.55000000000000004">
      <c r="A276" s="56"/>
      <c r="B276" s="46" t="s">
        <v>13</v>
      </c>
      <c r="C276" s="328"/>
      <c r="D276" s="328"/>
      <c r="E276" s="328"/>
      <c r="F276" s="328"/>
      <c r="G276" s="328"/>
      <c r="H276" s="328"/>
      <c r="I276" s="328"/>
      <c r="J276" s="328"/>
      <c r="K276" s="328"/>
      <c r="L276" s="328"/>
      <c r="M276" s="328"/>
      <c r="N276" s="328"/>
      <c r="O276" s="328"/>
      <c r="P276" s="344" t="s">
        <v>282</v>
      </c>
      <c r="Q276" s="358" t="s">
        <v>421</v>
      </c>
      <c r="R276" s="358"/>
      <c r="S276" s="358"/>
      <c r="T276" s="358"/>
      <c r="U276" s="358"/>
      <c r="V276" s="358"/>
      <c r="W276" s="359"/>
      <c r="X276" s="396">
        <v>0</v>
      </c>
      <c r="Y276" s="397"/>
      <c r="Z276" s="1"/>
      <c r="AB276" s="1"/>
      <c r="AC276" s="1"/>
      <c r="AD276" s="1"/>
      <c r="AE276" s="17"/>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row>
    <row r="277" spans="1:77" ht="15.75" customHeight="1" x14ac:dyDescent="0.55000000000000004">
      <c r="A277" s="56"/>
      <c r="B277" s="46" t="s">
        <v>13</v>
      </c>
      <c r="C277" s="323" t="s">
        <v>419</v>
      </c>
      <c r="D277" s="324"/>
      <c r="E277" s="324"/>
      <c r="F277" s="324"/>
      <c r="G277" s="324"/>
      <c r="H277" s="324"/>
      <c r="I277" s="324"/>
      <c r="J277" s="324"/>
      <c r="K277" s="324"/>
      <c r="L277" s="324"/>
      <c r="M277" s="324"/>
      <c r="N277" s="324"/>
      <c r="O277" s="324"/>
      <c r="P277" s="344"/>
      <c r="Q277" s="358"/>
      <c r="R277" s="358"/>
      <c r="S277" s="358"/>
      <c r="T277" s="358"/>
      <c r="U277" s="358"/>
      <c r="V277" s="358"/>
      <c r="W277" s="359"/>
      <c r="X277" s="396"/>
      <c r="Y277" s="397"/>
      <c r="Z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row>
    <row r="278" spans="1:77" ht="15.75" customHeight="1" x14ac:dyDescent="0.55000000000000004">
      <c r="A278" s="56"/>
      <c r="B278" s="46"/>
      <c r="C278" s="325"/>
      <c r="D278" s="326"/>
      <c r="E278" s="326"/>
      <c r="F278" s="326"/>
      <c r="G278" s="326"/>
      <c r="H278" s="326"/>
      <c r="I278" s="326"/>
      <c r="J278" s="326"/>
      <c r="K278" s="326"/>
      <c r="L278" s="326"/>
      <c r="M278" s="326"/>
      <c r="N278" s="326"/>
      <c r="O278" s="326"/>
      <c r="P278" s="156"/>
      <c r="Q278" s="70"/>
      <c r="R278" s="157"/>
      <c r="S278" s="158"/>
      <c r="T278" s="158"/>
      <c r="U278" s="2"/>
      <c r="V278" s="2"/>
      <c r="W278" s="161"/>
      <c r="X278" s="160"/>
      <c r="Y278" s="161"/>
      <c r="Z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row>
    <row r="279" spans="1:77" ht="15.75" customHeight="1" x14ac:dyDescent="0.55000000000000004">
      <c r="A279" s="56"/>
      <c r="B279" s="46"/>
      <c r="C279" s="327"/>
      <c r="D279" s="328"/>
      <c r="E279" s="328"/>
      <c r="F279" s="328"/>
      <c r="G279" s="328"/>
      <c r="H279" s="328"/>
      <c r="I279" s="328"/>
      <c r="J279" s="328"/>
      <c r="K279" s="328"/>
      <c r="L279" s="328"/>
      <c r="M279" s="328"/>
      <c r="N279" s="328"/>
      <c r="O279" s="328"/>
      <c r="P279" s="100" t="s">
        <v>282</v>
      </c>
      <c r="Q279" s="345" t="s">
        <v>274</v>
      </c>
      <c r="R279" s="345"/>
      <c r="S279" s="345"/>
      <c r="T279" s="345"/>
      <c r="U279" s="345"/>
      <c r="V279" s="345"/>
      <c r="W279" s="346"/>
      <c r="X279" s="333">
        <v>0</v>
      </c>
      <c r="Y279" s="334"/>
      <c r="Z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row>
    <row r="280" spans="1:77" ht="15.75" customHeight="1" x14ac:dyDescent="0.55000000000000004">
      <c r="A280" s="367" t="s">
        <v>107</v>
      </c>
      <c r="B280" s="368"/>
      <c r="C280" s="368"/>
      <c r="D280" s="368"/>
      <c r="E280" s="368"/>
      <c r="F280" s="368"/>
      <c r="G280" s="368"/>
      <c r="H280" s="368"/>
      <c r="I280" s="368"/>
      <c r="J280" s="368"/>
      <c r="K280" s="368"/>
      <c r="L280" s="368"/>
      <c r="M280" s="368"/>
      <c r="N280" s="368"/>
      <c r="O280" s="369"/>
      <c r="P280" s="363" t="s">
        <v>50</v>
      </c>
      <c r="Q280" s="364"/>
      <c r="R280" s="364"/>
      <c r="S280" s="364"/>
      <c r="T280" s="364"/>
      <c r="U280" s="364"/>
      <c r="V280" s="364"/>
      <c r="W280" s="364"/>
      <c r="X280" s="365" t="s">
        <v>49</v>
      </c>
      <c r="Y280" s="366"/>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row>
    <row r="281" spans="1:77" ht="15.75" customHeight="1" x14ac:dyDescent="0.55000000000000004">
      <c r="A281" s="55"/>
      <c r="B281" s="323" t="s">
        <v>423</v>
      </c>
      <c r="C281" s="324"/>
      <c r="D281" s="324"/>
      <c r="E281" s="324"/>
      <c r="F281" s="324"/>
      <c r="G281" s="324"/>
      <c r="H281" s="324"/>
      <c r="I281" s="324"/>
      <c r="J281" s="324"/>
      <c r="K281" s="324"/>
      <c r="L281" s="324"/>
      <c r="M281" s="324"/>
      <c r="N281" s="324"/>
      <c r="O281" s="324"/>
      <c r="P281" s="120" t="s">
        <v>280</v>
      </c>
      <c r="Q281" s="132" t="s">
        <v>273</v>
      </c>
      <c r="R281" s="132"/>
      <c r="S281" s="132"/>
      <c r="T281" s="132"/>
      <c r="U281" s="132"/>
      <c r="V281" s="132"/>
      <c r="W281" s="133"/>
      <c r="X281" s="343">
        <v>1</v>
      </c>
      <c r="Y281" s="330"/>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row>
    <row r="282" spans="1:77" ht="15.75" customHeight="1" x14ac:dyDescent="0.55000000000000004">
      <c r="A282" s="55"/>
      <c r="B282" s="327"/>
      <c r="C282" s="328"/>
      <c r="D282" s="328"/>
      <c r="E282" s="328"/>
      <c r="F282" s="328"/>
      <c r="G282" s="328"/>
      <c r="H282" s="328"/>
      <c r="I282" s="328"/>
      <c r="J282" s="328"/>
      <c r="K282" s="328"/>
      <c r="L282" s="328"/>
      <c r="M282" s="328"/>
      <c r="N282" s="328"/>
      <c r="O282" s="328"/>
      <c r="P282" s="156"/>
      <c r="Q282" s="70"/>
      <c r="R282" s="157"/>
      <c r="S282" s="74"/>
      <c r="T282" s="74"/>
      <c r="U282" s="1"/>
      <c r="V282" s="1"/>
      <c r="W282" s="165"/>
      <c r="X282" s="37"/>
      <c r="Y282" s="165"/>
      <c r="Z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row>
    <row r="283" spans="1:77" ht="15.75" customHeight="1" x14ac:dyDescent="0.55000000000000004">
      <c r="A283" s="55" t="s">
        <v>13</v>
      </c>
      <c r="B283" s="394" t="s">
        <v>424</v>
      </c>
      <c r="C283" s="380"/>
      <c r="D283" s="380"/>
      <c r="E283" s="380"/>
      <c r="F283" s="380"/>
      <c r="G283" s="380"/>
      <c r="H283" s="380"/>
      <c r="I283" s="380"/>
      <c r="J283" s="380"/>
      <c r="K283" s="380"/>
      <c r="L283" s="380"/>
      <c r="M283" s="380"/>
      <c r="N283" s="380"/>
      <c r="O283" s="380"/>
      <c r="P283" s="117" t="s">
        <v>281</v>
      </c>
      <c r="Q283" s="7" t="s">
        <v>292</v>
      </c>
      <c r="R283" s="7"/>
      <c r="S283" s="7"/>
      <c r="T283" s="7"/>
      <c r="U283" s="7"/>
      <c r="V283" s="7"/>
      <c r="W283" s="121"/>
      <c r="X283" s="344">
        <v>0.5</v>
      </c>
      <c r="Y283" s="332"/>
      <c r="Z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row>
    <row r="284" spans="1:77" ht="15.75" customHeight="1" x14ac:dyDescent="0.55000000000000004">
      <c r="A284" s="55"/>
      <c r="B284" s="395"/>
      <c r="C284" s="382"/>
      <c r="D284" s="382"/>
      <c r="E284" s="382"/>
      <c r="F284" s="382"/>
      <c r="G284" s="382"/>
      <c r="H284" s="382"/>
      <c r="I284" s="382"/>
      <c r="J284" s="382"/>
      <c r="K284" s="382"/>
      <c r="L284" s="382"/>
      <c r="M284" s="382"/>
      <c r="N284" s="382"/>
      <c r="O284" s="382"/>
      <c r="P284" s="344" t="s">
        <v>282</v>
      </c>
      <c r="Q284" s="358" t="s">
        <v>411</v>
      </c>
      <c r="R284" s="358"/>
      <c r="S284" s="358"/>
      <c r="T284" s="358"/>
      <c r="U284" s="358"/>
      <c r="V284" s="358"/>
      <c r="W284" s="359"/>
      <c r="X284" s="396">
        <v>0</v>
      </c>
      <c r="Y284" s="397"/>
      <c r="Z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row>
    <row r="285" spans="1:77" ht="15.75" customHeight="1" x14ac:dyDescent="0.55000000000000004">
      <c r="A285" s="55"/>
      <c r="B285" s="394" t="s">
        <v>425</v>
      </c>
      <c r="C285" s="380"/>
      <c r="D285" s="380"/>
      <c r="E285" s="380"/>
      <c r="F285" s="380"/>
      <c r="G285" s="380"/>
      <c r="H285" s="380"/>
      <c r="I285" s="380"/>
      <c r="J285" s="380"/>
      <c r="K285" s="380"/>
      <c r="L285" s="380"/>
      <c r="M285" s="380"/>
      <c r="N285" s="380"/>
      <c r="O285" s="380"/>
      <c r="P285" s="344"/>
      <c r="Q285" s="358"/>
      <c r="R285" s="358"/>
      <c r="S285" s="358"/>
      <c r="T285" s="358"/>
      <c r="U285" s="358"/>
      <c r="V285" s="358"/>
      <c r="W285" s="359"/>
      <c r="X285" s="396"/>
      <c r="Y285" s="397"/>
      <c r="Z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row>
    <row r="286" spans="1:77" ht="15.75" customHeight="1" x14ac:dyDescent="0.55000000000000004">
      <c r="A286" s="55" t="s">
        <v>13</v>
      </c>
      <c r="B286" s="395"/>
      <c r="C286" s="382"/>
      <c r="D286" s="382"/>
      <c r="E286" s="382"/>
      <c r="F286" s="382"/>
      <c r="G286" s="382"/>
      <c r="H286" s="382"/>
      <c r="I286" s="382"/>
      <c r="J286" s="382"/>
      <c r="K286" s="382"/>
      <c r="L286" s="382"/>
      <c r="M286" s="382"/>
      <c r="N286" s="382"/>
      <c r="O286" s="382"/>
      <c r="P286" s="100" t="s">
        <v>282</v>
      </c>
      <c r="Q286" s="345" t="s">
        <v>274</v>
      </c>
      <c r="R286" s="345"/>
      <c r="S286" s="345"/>
      <c r="T286" s="345"/>
      <c r="U286" s="345"/>
      <c r="V286" s="345"/>
      <c r="W286" s="346"/>
      <c r="X286" s="333">
        <v>0</v>
      </c>
      <c r="Y286" s="334"/>
      <c r="Z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row>
    <row r="287" spans="1:77" ht="15.75" customHeight="1" x14ac:dyDescent="0.55000000000000004">
      <c r="A287" s="634"/>
      <c r="B287" s="487"/>
      <c r="C287" s="487"/>
      <c r="D287" s="487"/>
      <c r="E287" s="487"/>
      <c r="F287" s="487"/>
      <c r="G287" s="487"/>
      <c r="H287" s="487"/>
      <c r="I287" s="487"/>
      <c r="J287" s="487"/>
      <c r="K287" s="487"/>
      <c r="L287" s="487"/>
      <c r="M287" s="487"/>
      <c r="N287" s="487"/>
      <c r="O287" s="487"/>
      <c r="P287" s="487"/>
      <c r="Q287" s="487"/>
      <c r="R287" s="487"/>
      <c r="S287" s="487"/>
      <c r="T287" s="487"/>
      <c r="U287" s="487"/>
      <c r="V287" s="487"/>
      <c r="W287" s="487"/>
      <c r="X287" s="487"/>
      <c r="Y287" s="488"/>
      <c r="Z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row>
    <row r="288" spans="1:77" ht="15.75" customHeight="1" x14ac:dyDescent="0.55000000000000004">
      <c r="A288" s="387" t="s">
        <v>108</v>
      </c>
      <c r="B288" s="388"/>
      <c r="C288" s="388"/>
      <c r="D288" s="388"/>
      <c r="E288" s="388"/>
      <c r="F288" s="388"/>
      <c r="G288" s="388"/>
      <c r="H288" s="388"/>
      <c r="I288" s="388"/>
      <c r="J288" s="388"/>
      <c r="K288" s="388"/>
      <c r="L288" s="388"/>
      <c r="M288" s="388"/>
      <c r="N288" s="388"/>
      <c r="O288" s="389"/>
      <c r="P288" s="390" t="s">
        <v>50</v>
      </c>
      <c r="Q288" s="391"/>
      <c r="R288" s="391"/>
      <c r="S288" s="391"/>
      <c r="T288" s="391"/>
      <c r="U288" s="391"/>
      <c r="V288" s="391"/>
      <c r="W288" s="391"/>
      <c r="X288" s="385" t="s">
        <v>49</v>
      </c>
      <c r="Y288" s="386"/>
      <c r="Z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row>
    <row r="289" spans="1:77" ht="15.75" customHeight="1" x14ac:dyDescent="0.55000000000000004">
      <c r="A289" s="168"/>
      <c r="B289" s="375" t="s">
        <v>614</v>
      </c>
      <c r="C289" s="375"/>
      <c r="D289" s="375"/>
      <c r="E289" s="375"/>
      <c r="F289" s="375"/>
      <c r="G289" s="375"/>
      <c r="H289" s="375"/>
      <c r="I289" s="375"/>
      <c r="J289" s="375"/>
      <c r="K289" s="375"/>
      <c r="L289" s="375"/>
      <c r="M289" s="375"/>
      <c r="N289" s="375"/>
      <c r="O289" s="376"/>
      <c r="P289" s="120" t="s">
        <v>280</v>
      </c>
      <c r="Q289" s="132" t="s">
        <v>273</v>
      </c>
      <c r="R289" s="132"/>
      <c r="S289" s="132"/>
      <c r="T289" s="132"/>
      <c r="U289" s="132"/>
      <c r="V289" s="132"/>
      <c r="W289" s="133"/>
      <c r="X289" s="343">
        <v>1</v>
      </c>
      <c r="Y289" s="330"/>
      <c r="Z289" s="1"/>
      <c r="AB289" s="122"/>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c r="AX289" s="122"/>
      <c r="AY289" s="122"/>
      <c r="AZ289" s="122"/>
      <c r="BA289" s="122"/>
      <c r="BB289" s="122"/>
      <c r="BC289" s="122"/>
      <c r="BD289" s="122"/>
      <c r="BE289" s="122"/>
      <c r="BF289" s="122"/>
      <c r="BG289" s="122"/>
      <c r="BH289" s="122"/>
      <c r="BI289" s="122"/>
      <c r="BJ289" s="122"/>
      <c r="BK289" s="122"/>
      <c r="BL289" s="122"/>
      <c r="BM289" s="122"/>
      <c r="BN289" s="122"/>
      <c r="BO289" s="122"/>
      <c r="BP289" s="122"/>
      <c r="BQ289" s="122"/>
      <c r="BR289" s="122"/>
      <c r="BS289" s="122"/>
      <c r="BT289" s="122"/>
      <c r="BU289" s="1"/>
      <c r="BV289" s="1"/>
      <c r="BW289" s="1"/>
      <c r="BX289" s="1"/>
      <c r="BY289" s="1"/>
    </row>
    <row r="290" spans="1:77" ht="15.75" customHeight="1" x14ac:dyDescent="0.55000000000000004">
      <c r="A290" s="167" t="s">
        <v>72</v>
      </c>
      <c r="B290" s="375"/>
      <c r="C290" s="375"/>
      <c r="D290" s="375"/>
      <c r="E290" s="375"/>
      <c r="F290" s="375"/>
      <c r="G290" s="375"/>
      <c r="H290" s="375"/>
      <c r="I290" s="375"/>
      <c r="J290" s="375"/>
      <c r="K290" s="375"/>
      <c r="L290" s="375"/>
      <c r="M290" s="375"/>
      <c r="N290" s="375"/>
      <c r="O290" s="376"/>
      <c r="P290" s="156"/>
      <c r="Q290" s="70"/>
      <c r="R290" s="157"/>
      <c r="S290" s="74"/>
      <c r="T290" s="74"/>
      <c r="U290" s="1"/>
      <c r="V290" s="1"/>
      <c r="W290" s="165"/>
      <c r="X290" s="37"/>
      <c r="Y290" s="165"/>
      <c r="Z290" s="1"/>
      <c r="AB290" s="122"/>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c r="AX290" s="122"/>
      <c r="AY290" s="122"/>
      <c r="AZ290" s="122"/>
      <c r="BA290" s="122"/>
      <c r="BB290" s="122"/>
      <c r="BC290" s="122"/>
      <c r="BD290" s="122"/>
      <c r="BE290" s="122"/>
      <c r="BF290" s="122"/>
      <c r="BG290" s="122"/>
      <c r="BH290" s="122"/>
      <c r="BI290" s="122"/>
      <c r="BJ290" s="122"/>
      <c r="BK290" s="122"/>
      <c r="BL290" s="122"/>
      <c r="BM290" s="122"/>
      <c r="BN290" s="122"/>
      <c r="BO290" s="122"/>
      <c r="BP290" s="122"/>
      <c r="BQ290" s="122"/>
      <c r="BR290" s="122"/>
      <c r="BS290" s="122"/>
      <c r="BT290" s="122"/>
      <c r="BU290" s="1"/>
      <c r="BV290" s="1"/>
      <c r="BW290" s="1"/>
      <c r="BX290" s="1"/>
      <c r="BY290" s="1"/>
    </row>
    <row r="291" spans="1:77" ht="15.75" customHeight="1" x14ac:dyDescent="0.55000000000000004">
      <c r="A291" s="167"/>
      <c r="B291" s="375"/>
      <c r="C291" s="375"/>
      <c r="D291" s="375"/>
      <c r="E291" s="375"/>
      <c r="F291" s="375"/>
      <c r="G291" s="375"/>
      <c r="H291" s="375"/>
      <c r="I291" s="375"/>
      <c r="J291" s="375"/>
      <c r="K291" s="375"/>
      <c r="L291" s="375"/>
      <c r="M291" s="375"/>
      <c r="N291" s="375"/>
      <c r="O291" s="376"/>
      <c r="P291" s="66"/>
      <c r="W291" s="115"/>
      <c r="X291" s="66"/>
      <c r="Y291" s="115"/>
      <c r="Z291" s="1"/>
      <c r="AB291" s="122"/>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c r="AX291" s="122"/>
      <c r="AY291" s="122"/>
      <c r="AZ291" s="122"/>
      <c r="BA291" s="122"/>
      <c r="BB291" s="122"/>
      <c r="BC291" s="122"/>
      <c r="BD291" s="122"/>
      <c r="BE291" s="122"/>
      <c r="BF291" s="122"/>
      <c r="BG291" s="122"/>
      <c r="BH291" s="122"/>
      <c r="BI291" s="122"/>
      <c r="BJ291" s="122"/>
      <c r="BK291" s="122"/>
      <c r="BL291" s="122"/>
      <c r="BM291" s="122"/>
      <c r="BN291" s="122"/>
      <c r="BO291" s="122"/>
      <c r="BP291" s="122"/>
      <c r="BQ291" s="122"/>
      <c r="BR291" s="122"/>
      <c r="BS291" s="122"/>
      <c r="BT291" s="122"/>
      <c r="BU291" s="1"/>
      <c r="BV291" s="1"/>
      <c r="BW291" s="1"/>
      <c r="BX291" s="1"/>
      <c r="BY291" s="1"/>
    </row>
    <row r="292" spans="1:77" ht="15.75" customHeight="1" x14ac:dyDescent="0.55000000000000004">
      <c r="A292" s="168"/>
      <c r="B292" s="375"/>
      <c r="C292" s="375"/>
      <c r="D292" s="375"/>
      <c r="E292" s="375"/>
      <c r="F292" s="375"/>
      <c r="G292" s="375"/>
      <c r="H292" s="375"/>
      <c r="I292" s="375"/>
      <c r="J292" s="375"/>
      <c r="K292" s="375"/>
      <c r="L292" s="375"/>
      <c r="M292" s="375"/>
      <c r="N292" s="375"/>
      <c r="O292" s="376"/>
      <c r="P292" s="66"/>
      <c r="W292" s="115"/>
      <c r="X292" s="66"/>
      <c r="Y292" s="115"/>
      <c r="Z292" s="1"/>
      <c r="AB292" s="122"/>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c r="AX292" s="122"/>
      <c r="AY292" s="122"/>
      <c r="AZ292" s="122"/>
      <c r="BA292" s="122"/>
      <c r="BB292" s="122"/>
      <c r="BC292" s="122"/>
      <c r="BD292" s="122"/>
      <c r="BE292" s="122"/>
      <c r="BF292" s="122"/>
      <c r="BG292" s="122"/>
      <c r="BH292" s="122"/>
      <c r="BI292" s="122"/>
      <c r="BJ292" s="122"/>
      <c r="BK292" s="122"/>
      <c r="BL292" s="122"/>
      <c r="BM292" s="122"/>
      <c r="BN292" s="122"/>
      <c r="BO292" s="122"/>
      <c r="BP292" s="122"/>
      <c r="BQ292" s="122"/>
      <c r="BR292" s="122"/>
      <c r="BS292" s="122"/>
      <c r="BT292" s="122"/>
      <c r="BU292" s="1"/>
      <c r="BV292" s="1"/>
      <c r="BW292" s="1"/>
      <c r="BX292" s="1"/>
      <c r="BY292" s="1"/>
    </row>
    <row r="293" spans="1:77" ht="15.75" customHeight="1" x14ac:dyDescent="0.55000000000000004">
      <c r="A293" s="168"/>
      <c r="B293" s="375" t="s">
        <v>427</v>
      </c>
      <c r="C293" s="375"/>
      <c r="D293" s="375"/>
      <c r="E293" s="375"/>
      <c r="F293" s="375"/>
      <c r="G293" s="375"/>
      <c r="H293" s="375"/>
      <c r="I293" s="375"/>
      <c r="J293" s="375"/>
      <c r="K293" s="375"/>
      <c r="L293" s="375"/>
      <c r="M293" s="375"/>
      <c r="N293" s="375"/>
      <c r="O293" s="376"/>
      <c r="P293" s="66"/>
      <c r="W293" s="115"/>
      <c r="X293" s="66"/>
      <c r="Y293" s="115"/>
      <c r="Z293" s="1"/>
      <c r="AB293" s="122"/>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c r="AX293" s="122"/>
      <c r="AY293" s="122"/>
      <c r="AZ293" s="122"/>
      <c r="BA293" s="122"/>
      <c r="BB293" s="122"/>
      <c r="BC293" s="122"/>
      <c r="BD293" s="122"/>
      <c r="BE293" s="122"/>
      <c r="BF293" s="122"/>
      <c r="BG293" s="122"/>
      <c r="BH293" s="122"/>
      <c r="BI293" s="122"/>
      <c r="BJ293" s="122"/>
      <c r="BK293" s="122"/>
      <c r="BL293" s="122"/>
      <c r="BM293" s="122"/>
      <c r="BN293" s="122"/>
      <c r="BO293" s="122"/>
      <c r="BP293" s="122"/>
      <c r="BQ293" s="122"/>
      <c r="BR293" s="122"/>
      <c r="BS293" s="122"/>
      <c r="BT293" s="122"/>
      <c r="BU293" s="1"/>
      <c r="BV293" s="1"/>
      <c r="BW293" s="1"/>
      <c r="BX293" s="1"/>
      <c r="BY293" s="1"/>
    </row>
    <row r="294" spans="1:77" ht="15.75" customHeight="1" x14ac:dyDescent="0.55000000000000004">
      <c r="A294" s="168" t="s">
        <v>72</v>
      </c>
      <c r="B294" s="375"/>
      <c r="C294" s="375"/>
      <c r="D294" s="375"/>
      <c r="E294" s="375"/>
      <c r="F294" s="375"/>
      <c r="G294" s="375"/>
      <c r="H294" s="375"/>
      <c r="I294" s="375"/>
      <c r="J294" s="375"/>
      <c r="K294" s="375"/>
      <c r="L294" s="375"/>
      <c r="M294" s="375"/>
      <c r="N294" s="375"/>
      <c r="O294" s="376"/>
      <c r="P294" s="66"/>
      <c r="W294" s="115"/>
      <c r="X294" s="66"/>
      <c r="Y294" s="115"/>
      <c r="Z294" s="1"/>
      <c r="AB294" s="122"/>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c r="AX294" s="122"/>
      <c r="AY294" s="122"/>
      <c r="AZ294" s="122"/>
      <c r="BA294" s="122"/>
      <c r="BB294" s="122"/>
      <c r="BC294" s="122"/>
      <c r="BD294" s="122"/>
      <c r="BE294" s="122"/>
      <c r="BF294" s="122"/>
      <c r="BG294" s="122"/>
      <c r="BH294" s="122"/>
      <c r="BI294" s="122"/>
      <c r="BJ294" s="122"/>
      <c r="BK294" s="122"/>
      <c r="BL294" s="122"/>
      <c r="BM294" s="122"/>
      <c r="BN294" s="122"/>
      <c r="BO294" s="122"/>
      <c r="BP294" s="122"/>
      <c r="BQ294" s="122"/>
      <c r="BR294" s="122"/>
      <c r="BS294" s="122"/>
      <c r="BT294" s="122"/>
      <c r="BU294" s="1"/>
      <c r="BV294" s="1"/>
      <c r="BW294" s="1"/>
      <c r="BX294" s="1"/>
      <c r="BY294" s="1"/>
    </row>
    <row r="295" spans="1:77" ht="15.75" customHeight="1" x14ac:dyDescent="0.55000000000000004">
      <c r="A295" s="167"/>
      <c r="B295" s="375"/>
      <c r="C295" s="375"/>
      <c r="D295" s="375"/>
      <c r="E295" s="375"/>
      <c r="F295" s="375"/>
      <c r="G295" s="375"/>
      <c r="H295" s="375"/>
      <c r="I295" s="375"/>
      <c r="J295" s="375"/>
      <c r="K295" s="375"/>
      <c r="L295" s="375"/>
      <c r="M295" s="375"/>
      <c r="N295" s="375"/>
      <c r="O295" s="376"/>
      <c r="P295" s="117" t="s">
        <v>281</v>
      </c>
      <c r="Q295" s="358" t="s">
        <v>430</v>
      </c>
      <c r="R295" s="358"/>
      <c r="S295" s="358"/>
      <c r="T295" s="358"/>
      <c r="U295" s="358"/>
      <c r="V295" s="358"/>
      <c r="W295" s="359"/>
      <c r="X295" s="344">
        <v>0.5</v>
      </c>
      <c r="Y295" s="332"/>
      <c r="Z295" s="1"/>
      <c r="AB295" s="122"/>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c r="AX295" s="122"/>
      <c r="AY295" s="122"/>
      <c r="AZ295" s="122"/>
      <c r="BA295" s="122"/>
      <c r="BB295" s="122"/>
      <c r="BC295" s="122"/>
      <c r="BD295" s="122"/>
      <c r="BE295" s="122"/>
      <c r="BF295" s="122"/>
      <c r="BG295" s="122"/>
      <c r="BH295" s="122"/>
      <c r="BI295" s="122"/>
      <c r="BJ295" s="122"/>
      <c r="BK295" s="122"/>
      <c r="BL295" s="122"/>
      <c r="BM295" s="122"/>
      <c r="BN295" s="122"/>
      <c r="BO295" s="122"/>
      <c r="BP295" s="122"/>
      <c r="BQ295" s="122"/>
      <c r="BR295" s="122"/>
      <c r="BS295" s="122"/>
      <c r="BT295" s="122"/>
      <c r="BU295" s="1"/>
      <c r="BV295" s="1"/>
      <c r="BW295" s="1"/>
      <c r="BX295" s="1"/>
      <c r="BY295" s="1"/>
    </row>
    <row r="296" spans="1:77" ht="15.75" customHeight="1" x14ac:dyDescent="0.55000000000000004">
      <c r="A296" s="167"/>
      <c r="B296" s="375" t="s">
        <v>428</v>
      </c>
      <c r="C296" s="375"/>
      <c r="D296" s="375"/>
      <c r="E296" s="375"/>
      <c r="F296" s="375"/>
      <c r="G296" s="375"/>
      <c r="H296" s="375"/>
      <c r="I296" s="375"/>
      <c r="J296" s="375"/>
      <c r="K296" s="375"/>
      <c r="L296" s="375"/>
      <c r="M296" s="375"/>
      <c r="N296" s="375"/>
      <c r="O296" s="376"/>
      <c r="P296" s="156"/>
      <c r="Q296" s="70"/>
      <c r="R296" s="157"/>
      <c r="S296" s="532"/>
      <c r="T296" s="532"/>
      <c r="U296" s="1"/>
      <c r="V296" s="1"/>
      <c r="W296" s="165"/>
      <c r="X296" s="37"/>
      <c r="Y296" s="165"/>
      <c r="Z296" s="1"/>
      <c r="AA296" s="1"/>
      <c r="AB296" s="122"/>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c r="AX296" s="122"/>
      <c r="AY296" s="122"/>
      <c r="AZ296" s="122"/>
      <c r="BA296" s="122"/>
      <c r="BB296" s="122"/>
      <c r="BC296" s="122"/>
      <c r="BD296" s="122"/>
      <c r="BE296" s="122"/>
      <c r="BF296" s="122"/>
      <c r="BG296" s="122"/>
      <c r="BH296" s="122"/>
      <c r="BI296" s="122"/>
      <c r="BJ296" s="122"/>
      <c r="BK296" s="122"/>
      <c r="BL296" s="122"/>
      <c r="BM296" s="122"/>
      <c r="BN296" s="122"/>
      <c r="BO296" s="122"/>
      <c r="BP296" s="122"/>
      <c r="BQ296" s="122"/>
      <c r="BR296" s="122"/>
      <c r="BS296" s="122"/>
      <c r="BT296" s="122"/>
      <c r="BU296" s="1"/>
      <c r="BV296" s="1"/>
      <c r="BW296" s="1"/>
      <c r="BX296" s="1"/>
      <c r="BY296" s="1"/>
    </row>
    <row r="297" spans="1:77" ht="15.75" customHeight="1" x14ac:dyDescent="0.55000000000000004">
      <c r="A297" s="168" t="s">
        <v>72</v>
      </c>
      <c r="B297" s="375"/>
      <c r="C297" s="375"/>
      <c r="D297" s="375"/>
      <c r="E297" s="375"/>
      <c r="F297" s="375"/>
      <c r="G297" s="375"/>
      <c r="H297" s="375"/>
      <c r="I297" s="375"/>
      <c r="J297" s="375"/>
      <c r="K297" s="375"/>
      <c r="L297" s="375"/>
      <c r="M297" s="375"/>
      <c r="N297" s="375"/>
      <c r="O297" s="376"/>
      <c r="P297" s="156"/>
      <c r="Q297" s="70"/>
      <c r="R297" s="157"/>
      <c r="S297" s="532"/>
      <c r="T297" s="532"/>
      <c r="U297" s="1"/>
      <c r="V297" s="1"/>
      <c r="W297" s="165"/>
      <c r="X297" s="37"/>
      <c r="Y297" s="165"/>
      <c r="Z297" s="1"/>
      <c r="AB297" s="122"/>
      <c r="AC297" s="122"/>
      <c r="AD297" s="122"/>
      <c r="AE297" s="122"/>
      <c r="AF297" s="122"/>
      <c r="AG297" s="122"/>
      <c r="AH297" s="122"/>
      <c r="AI297" s="122"/>
      <c r="AJ297" s="122"/>
      <c r="AK297" s="122"/>
      <c r="AL297" s="122"/>
      <c r="AM297" s="122"/>
      <c r="AN297" s="122"/>
      <c r="AO297" s="122"/>
      <c r="AP297" s="122"/>
      <c r="AQ297" s="122"/>
      <c r="AR297" s="122"/>
      <c r="AS297" s="122"/>
      <c r="AT297" s="122"/>
      <c r="AU297" s="122"/>
      <c r="AV297" s="122"/>
      <c r="AW297" s="122"/>
      <c r="AX297" s="122"/>
      <c r="AY297" s="122"/>
      <c r="AZ297" s="122"/>
      <c r="BA297" s="122"/>
      <c r="BB297" s="122"/>
      <c r="BC297" s="122"/>
      <c r="BD297" s="122"/>
      <c r="BE297" s="122"/>
      <c r="BF297" s="122"/>
      <c r="BG297" s="122"/>
      <c r="BH297" s="122"/>
      <c r="BI297" s="122"/>
      <c r="BJ297" s="122"/>
      <c r="BK297" s="122"/>
      <c r="BL297" s="122"/>
      <c r="BM297" s="122"/>
      <c r="BN297" s="122"/>
      <c r="BO297" s="122"/>
      <c r="BP297" s="122"/>
      <c r="BQ297" s="122"/>
      <c r="BR297" s="122"/>
      <c r="BS297" s="122"/>
      <c r="BT297" s="122"/>
      <c r="BU297" s="1"/>
      <c r="BV297" s="1"/>
      <c r="BW297" s="1"/>
      <c r="BX297" s="1"/>
      <c r="BY297" s="1"/>
    </row>
    <row r="298" spans="1:77" ht="15.75" customHeight="1" x14ac:dyDescent="0.55000000000000004">
      <c r="A298" s="168"/>
      <c r="B298" s="375"/>
      <c r="C298" s="375"/>
      <c r="D298" s="375"/>
      <c r="E298" s="375"/>
      <c r="F298" s="375"/>
      <c r="G298" s="375"/>
      <c r="H298" s="375"/>
      <c r="I298" s="375"/>
      <c r="J298" s="375"/>
      <c r="K298" s="375"/>
      <c r="L298" s="375"/>
      <c r="M298" s="375"/>
      <c r="N298" s="375"/>
      <c r="O298" s="376"/>
      <c r="P298" s="156"/>
      <c r="Q298" s="70"/>
      <c r="R298" s="157"/>
      <c r="S298" s="158"/>
      <c r="T298" s="158"/>
      <c r="U298" s="2"/>
      <c r="V298" s="2"/>
      <c r="W298" s="161"/>
      <c r="X298" s="160"/>
      <c r="Y298" s="161"/>
      <c r="Z298" s="1"/>
      <c r="AB298" s="122"/>
      <c r="AC298" s="122"/>
      <c r="AD298" s="122"/>
      <c r="AE298" s="122"/>
      <c r="AF298" s="122"/>
      <c r="AG298" s="122"/>
      <c r="AH298" s="122"/>
      <c r="AI298" s="122"/>
      <c r="AJ298" s="122"/>
      <c r="AK298" s="122"/>
      <c r="AL298" s="122"/>
      <c r="AM298" s="122"/>
      <c r="AN298" s="122"/>
      <c r="AO298" s="122"/>
      <c r="AP298" s="122"/>
      <c r="AQ298" s="122"/>
      <c r="AR298" s="122"/>
      <c r="AS298" s="122"/>
      <c r="AT298" s="122"/>
      <c r="AU298" s="122"/>
      <c r="AV298" s="122"/>
      <c r="AW298" s="122"/>
      <c r="AX298" s="122"/>
      <c r="AY298" s="122"/>
      <c r="AZ298" s="122"/>
      <c r="BA298" s="122"/>
      <c r="BB298" s="122"/>
      <c r="BC298" s="122"/>
      <c r="BD298" s="122"/>
      <c r="BE298" s="122"/>
      <c r="BF298" s="122"/>
      <c r="BG298" s="122"/>
      <c r="BH298" s="122"/>
      <c r="BI298" s="122"/>
      <c r="BJ298" s="122"/>
      <c r="BK298" s="122"/>
      <c r="BL298" s="122"/>
      <c r="BM298" s="122"/>
      <c r="BN298" s="122"/>
      <c r="BO298" s="122"/>
      <c r="BP298" s="122"/>
      <c r="BQ298" s="122"/>
      <c r="BR298" s="122"/>
      <c r="BS298" s="122"/>
      <c r="BT298" s="122"/>
      <c r="BU298" s="1"/>
      <c r="BV298" s="1"/>
      <c r="BW298" s="1"/>
      <c r="BX298" s="1"/>
      <c r="BY298" s="1"/>
    </row>
    <row r="299" spans="1:77" ht="15.75" customHeight="1" x14ac:dyDescent="0.55000000000000004">
      <c r="A299" s="168"/>
      <c r="B299" s="375" t="s">
        <v>615</v>
      </c>
      <c r="C299" s="375"/>
      <c r="D299" s="375"/>
      <c r="E299" s="375"/>
      <c r="F299" s="375"/>
      <c r="G299" s="375"/>
      <c r="H299" s="375"/>
      <c r="I299" s="375"/>
      <c r="J299" s="375"/>
      <c r="K299" s="375"/>
      <c r="L299" s="375"/>
      <c r="M299" s="375"/>
      <c r="N299" s="375"/>
      <c r="O299" s="376"/>
      <c r="P299" s="66"/>
      <c r="W299" s="115"/>
      <c r="X299" s="66"/>
      <c r="Y299" s="115"/>
      <c r="Z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row>
    <row r="300" spans="1:77" ht="15.75" customHeight="1" x14ac:dyDescent="0.55000000000000004">
      <c r="A300" s="168"/>
      <c r="B300" s="375"/>
      <c r="C300" s="375"/>
      <c r="D300" s="375"/>
      <c r="E300" s="375"/>
      <c r="F300" s="375"/>
      <c r="G300" s="375"/>
      <c r="H300" s="375"/>
      <c r="I300" s="375"/>
      <c r="J300" s="375"/>
      <c r="K300" s="375"/>
      <c r="L300" s="375"/>
      <c r="M300" s="375"/>
      <c r="N300" s="375"/>
      <c r="O300" s="376"/>
      <c r="P300" s="344" t="s">
        <v>282</v>
      </c>
      <c r="Q300" s="358" t="s">
        <v>375</v>
      </c>
      <c r="R300" s="358"/>
      <c r="S300" s="358"/>
      <c r="T300" s="358"/>
      <c r="U300" s="358"/>
      <c r="V300" s="358"/>
      <c r="W300" s="359"/>
      <c r="X300" s="396">
        <v>0</v>
      </c>
      <c r="Y300" s="397"/>
      <c r="Z300" s="1"/>
      <c r="AB300" s="122"/>
      <c r="AC300" s="122"/>
      <c r="AD300" s="122"/>
      <c r="AE300" s="122"/>
      <c r="AF300" s="122"/>
      <c r="AG300" s="122"/>
      <c r="AH300" s="122"/>
      <c r="AI300" s="122"/>
      <c r="AJ300" s="122"/>
      <c r="AK300" s="122"/>
      <c r="AL300" s="122"/>
      <c r="AM300" s="122"/>
      <c r="AN300" s="122"/>
      <c r="AO300" s="122"/>
      <c r="AP300" s="122"/>
      <c r="AQ300" s="122"/>
      <c r="AR300" s="122"/>
      <c r="AS300" s="122"/>
      <c r="AT300" s="122"/>
      <c r="AU300" s="122"/>
      <c r="AV300" s="122"/>
      <c r="AW300" s="122"/>
      <c r="AX300" s="122"/>
      <c r="AY300" s="122"/>
      <c r="AZ300" s="122"/>
      <c r="BA300" s="122"/>
      <c r="BB300" s="122"/>
      <c r="BC300" s="122"/>
      <c r="BD300" s="122"/>
      <c r="BE300" s="122"/>
      <c r="BF300" s="122"/>
      <c r="BG300" s="122"/>
      <c r="BH300" s="122"/>
      <c r="BI300" s="122"/>
      <c r="BJ300" s="122"/>
      <c r="BK300" s="122"/>
      <c r="BL300" s="122"/>
      <c r="BM300" s="122"/>
      <c r="BN300" s="122"/>
      <c r="BO300" s="122"/>
      <c r="BP300" s="122"/>
      <c r="BQ300" s="122"/>
      <c r="BR300" s="122"/>
      <c r="BS300" s="122"/>
      <c r="BT300" s="122"/>
      <c r="BU300" s="1"/>
      <c r="BV300" s="1"/>
      <c r="BW300" s="1"/>
      <c r="BX300" s="1"/>
      <c r="BY300" s="1"/>
    </row>
    <row r="301" spans="1:77" ht="15.75" customHeight="1" x14ac:dyDescent="0.55000000000000004">
      <c r="A301" s="168"/>
      <c r="B301" s="375"/>
      <c r="C301" s="375"/>
      <c r="D301" s="375"/>
      <c r="E301" s="375"/>
      <c r="F301" s="375"/>
      <c r="G301" s="375"/>
      <c r="H301" s="375"/>
      <c r="I301" s="375"/>
      <c r="J301" s="375"/>
      <c r="K301" s="375"/>
      <c r="L301" s="375"/>
      <c r="M301" s="375"/>
      <c r="N301" s="375"/>
      <c r="O301" s="376"/>
      <c r="P301" s="344"/>
      <c r="Q301" s="358"/>
      <c r="R301" s="358"/>
      <c r="S301" s="358"/>
      <c r="T301" s="358"/>
      <c r="U301" s="358"/>
      <c r="V301" s="358"/>
      <c r="W301" s="359"/>
      <c r="X301" s="396"/>
      <c r="Y301" s="397"/>
      <c r="Z301" s="1"/>
      <c r="AB301" s="122"/>
      <c r="AC301" s="122"/>
      <c r="AD301" s="122"/>
      <c r="AE301" s="122"/>
      <c r="AF301" s="122"/>
      <c r="AG301" s="122"/>
      <c r="AH301" s="122"/>
      <c r="AI301" s="122"/>
      <c r="AJ301" s="122"/>
      <c r="AK301" s="122"/>
      <c r="AL301" s="122"/>
      <c r="AM301" s="122"/>
      <c r="AN301" s="122"/>
      <c r="AO301" s="122"/>
      <c r="AP301" s="122"/>
      <c r="AQ301" s="122"/>
      <c r="AR301" s="122"/>
      <c r="AS301" s="122"/>
      <c r="AT301" s="122"/>
      <c r="AU301" s="122"/>
      <c r="AV301" s="122"/>
      <c r="AW301" s="122"/>
      <c r="AX301" s="122"/>
      <c r="AY301" s="122"/>
      <c r="AZ301" s="122"/>
      <c r="BA301" s="122"/>
      <c r="BB301" s="122"/>
      <c r="BC301" s="122"/>
      <c r="BD301" s="122"/>
      <c r="BE301" s="122"/>
      <c r="BF301" s="122"/>
      <c r="BG301" s="122"/>
      <c r="BH301" s="122"/>
      <c r="BI301" s="122"/>
      <c r="BJ301" s="122"/>
      <c r="BK301" s="122"/>
      <c r="BL301" s="122"/>
      <c r="BM301" s="122"/>
      <c r="BN301" s="122"/>
      <c r="BO301" s="122"/>
      <c r="BP301" s="122"/>
      <c r="BQ301" s="122"/>
      <c r="BR301" s="122"/>
      <c r="BS301" s="122"/>
      <c r="BT301" s="122"/>
      <c r="BU301" s="1"/>
      <c r="BV301" s="1"/>
      <c r="BW301" s="1"/>
      <c r="BX301" s="1"/>
      <c r="BY301" s="1"/>
    </row>
    <row r="302" spans="1:77" ht="15.75" customHeight="1" x14ac:dyDescent="0.55000000000000004">
      <c r="A302" s="168"/>
      <c r="B302" s="375" t="s">
        <v>616</v>
      </c>
      <c r="C302" s="375"/>
      <c r="D302" s="375"/>
      <c r="E302" s="375"/>
      <c r="F302" s="375"/>
      <c r="G302" s="375"/>
      <c r="H302" s="375"/>
      <c r="I302" s="375"/>
      <c r="J302" s="375"/>
      <c r="K302" s="375"/>
      <c r="L302" s="375"/>
      <c r="M302" s="375"/>
      <c r="N302" s="375"/>
      <c r="O302" s="376"/>
      <c r="P302" s="156"/>
      <c r="Q302" s="70"/>
      <c r="R302" s="157"/>
      <c r="S302" s="158"/>
      <c r="T302" s="158"/>
      <c r="U302" s="2"/>
      <c r="V302" s="2"/>
      <c r="W302" s="161"/>
      <c r="X302" s="160"/>
      <c r="Y302" s="161"/>
      <c r="Z302" s="1"/>
      <c r="AB302" s="122"/>
      <c r="AC302" s="122"/>
      <c r="AD302" s="122"/>
      <c r="AE302" s="122"/>
      <c r="AF302" s="122"/>
      <c r="AG302" s="122"/>
      <c r="AH302" s="122"/>
      <c r="AI302" s="122"/>
      <c r="AJ302" s="122"/>
      <c r="AK302" s="122"/>
      <c r="AL302" s="122"/>
      <c r="AM302" s="122"/>
      <c r="AN302" s="122"/>
      <c r="AO302" s="122"/>
      <c r="AP302" s="122"/>
      <c r="AQ302" s="122"/>
      <c r="AR302" s="122"/>
      <c r="AS302" s="122"/>
      <c r="AT302" s="122"/>
      <c r="AU302" s="122"/>
      <c r="AV302" s="122"/>
      <c r="AW302" s="122"/>
      <c r="AX302" s="122"/>
      <c r="AY302" s="122"/>
      <c r="AZ302" s="122"/>
      <c r="BA302" s="122"/>
      <c r="BB302" s="122"/>
      <c r="BC302" s="122"/>
      <c r="BD302" s="122"/>
      <c r="BE302" s="122"/>
      <c r="BF302" s="122"/>
      <c r="BG302" s="122"/>
      <c r="BH302" s="122"/>
      <c r="BI302" s="122"/>
      <c r="BJ302" s="122"/>
      <c r="BK302" s="122"/>
      <c r="BL302" s="122"/>
      <c r="BM302" s="122"/>
      <c r="BN302" s="122"/>
      <c r="BO302" s="122"/>
      <c r="BP302" s="122"/>
      <c r="BQ302" s="122"/>
      <c r="BR302" s="122"/>
      <c r="BS302" s="122"/>
      <c r="BT302" s="122"/>
      <c r="BU302" s="1"/>
      <c r="BV302" s="1"/>
      <c r="BW302" s="1"/>
      <c r="BX302" s="1"/>
      <c r="BY302" s="1"/>
    </row>
    <row r="303" spans="1:77" ht="15.75" customHeight="1" x14ac:dyDescent="0.55000000000000004">
      <c r="A303" s="168"/>
      <c r="B303" s="375"/>
      <c r="C303" s="375"/>
      <c r="D303" s="375"/>
      <c r="E303" s="375"/>
      <c r="F303" s="375"/>
      <c r="G303" s="375"/>
      <c r="H303" s="375"/>
      <c r="I303" s="375"/>
      <c r="J303" s="375"/>
      <c r="K303" s="375"/>
      <c r="L303" s="375"/>
      <c r="M303" s="375"/>
      <c r="N303" s="375"/>
      <c r="O303" s="376"/>
      <c r="P303" s="66"/>
      <c r="W303" s="115"/>
      <c r="X303" s="66"/>
      <c r="Y303" s="115"/>
      <c r="Z303" s="1"/>
      <c r="AB303" s="122"/>
      <c r="AC303" s="122"/>
      <c r="AD303" s="122"/>
      <c r="AE303" s="122"/>
      <c r="AF303" s="122"/>
      <c r="AG303" s="122"/>
      <c r="AH303" s="122"/>
      <c r="AI303" s="122"/>
      <c r="AJ303" s="122"/>
      <c r="AK303" s="122"/>
      <c r="AL303" s="122"/>
      <c r="AM303" s="122"/>
      <c r="AN303" s="122"/>
      <c r="AO303" s="122"/>
      <c r="AP303" s="122"/>
      <c r="AQ303" s="122"/>
      <c r="AR303" s="122"/>
      <c r="AS303" s="122"/>
      <c r="AT303" s="122"/>
      <c r="AU303" s="122"/>
      <c r="AV303" s="122"/>
      <c r="AW303" s="122"/>
      <c r="AX303" s="122"/>
      <c r="AY303" s="122"/>
      <c r="AZ303" s="122"/>
      <c r="BA303" s="122"/>
      <c r="BB303" s="122"/>
      <c r="BC303" s="122"/>
      <c r="BD303" s="122"/>
      <c r="BE303" s="122"/>
      <c r="BF303" s="122"/>
      <c r="BG303" s="122"/>
      <c r="BH303" s="122"/>
      <c r="BI303" s="122"/>
      <c r="BJ303" s="122"/>
      <c r="BK303" s="122"/>
      <c r="BL303" s="122"/>
      <c r="BM303" s="122"/>
      <c r="BN303" s="122"/>
      <c r="BO303" s="122"/>
      <c r="BP303" s="122"/>
      <c r="BQ303" s="122"/>
      <c r="BR303" s="122"/>
      <c r="BS303" s="122"/>
      <c r="BT303" s="122"/>
      <c r="BU303" s="1"/>
      <c r="BV303" s="1"/>
      <c r="BW303" s="1"/>
      <c r="BX303" s="1"/>
      <c r="BY303" s="1"/>
    </row>
    <row r="304" spans="1:77" ht="15.75" customHeight="1" x14ac:dyDescent="0.55000000000000004">
      <c r="A304" s="168"/>
      <c r="B304" s="375" t="s">
        <v>429</v>
      </c>
      <c r="C304" s="375"/>
      <c r="D304" s="375"/>
      <c r="E304" s="375"/>
      <c r="F304" s="375"/>
      <c r="G304" s="375"/>
      <c r="H304" s="375"/>
      <c r="I304" s="375"/>
      <c r="J304" s="375"/>
      <c r="K304" s="375"/>
      <c r="L304" s="375"/>
      <c r="M304" s="375"/>
      <c r="N304" s="375"/>
      <c r="O304" s="376"/>
      <c r="P304" s="113"/>
      <c r="Q304" s="76"/>
      <c r="R304" s="76"/>
      <c r="S304" s="76"/>
      <c r="T304" s="76"/>
      <c r="U304" s="76"/>
      <c r="V304" s="76"/>
      <c r="W304" s="162"/>
      <c r="X304" s="113"/>
      <c r="Y304" s="114"/>
      <c r="Z304" s="1"/>
      <c r="AB304" s="122"/>
      <c r="AC304" s="122"/>
      <c r="AD304" s="122"/>
      <c r="AE304" s="122"/>
      <c r="AF304" s="122"/>
      <c r="AG304" s="122"/>
      <c r="AH304" s="122"/>
      <c r="AI304" s="122"/>
      <c r="AJ304" s="122"/>
      <c r="AK304" s="122"/>
      <c r="AL304" s="122"/>
      <c r="AM304" s="122"/>
      <c r="AN304" s="122"/>
      <c r="AO304" s="122"/>
      <c r="AP304" s="122"/>
      <c r="AQ304" s="122"/>
      <c r="AR304" s="122"/>
      <c r="AS304" s="122"/>
      <c r="AT304" s="122"/>
      <c r="AU304" s="122"/>
      <c r="AV304" s="122"/>
      <c r="AW304" s="122"/>
      <c r="AX304" s="122"/>
      <c r="AY304" s="122"/>
      <c r="AZ304" s="122"/>
      <c r="BA304" s="122"/>
      <c r="BB304" s="122"/>
      <c r="BC304" s="122"/>
      <c r="BD304" s="122"/>
      <c r="BE304" s="122"/>
      <c r="BF304" s="122"/>
      <c r="BG304" s="122"/>
      <c r="BH304" s="122"/>
      <c r="BI304" s="122"/>
      <c r="BJ304" s="122"/>
      <c r="BK304" s="122"/>
      <c r="BL304" s="122"/>
      <c r="BM304" s="122"/>
      <c r="BN304" s="122"/>
      <c r="BO304" s="122"/>
      <c r="BP304" s="122"/>
      <c r="BQ304" s="122"/>
      <c r="BR304" s="122"/>
      <c r="BS304" s="122"/>
      <c r="BT304" s="122"/>
      <c r="BU304" s="1"/>
      <c r="BV304" s="1"/>
      <c r="BW304" s="1"/>
      <c r="BX304" s="1"/>
      <c r="BY304" s="1"/>
    </row>
    <row r="305" spans="1:77" ht="15.75" customHeight="1" x14ac:dyDescent="0.55000000000000004">
      <c r="A305" s="168"/>
      <c r="B305" s="375"/>
      <c r="C305" s="375"/>
      <c r="D305" s="375"/>
      <c r="E305" s="375"/>
      <c r="F305" s="375"/>
      <c r="G305" s="375"/>
      <c r="H305" s="375"/>
      <c r="I305" s="375"/>
      <c r="J305" s="375"/>
      <c r="K305" s="375"/>
      <c r="L305" s="375"/>
      <c r="M305" s="375"/>
      <c r="N305" s="375"/>
      <c r="O305" s="376"/>
      <c r="P305" s="66"/>
      <c r="W305" s="115"/>
      <c r="X305" s="66"/>
      <c r="Y305" s="115"/>
      <c r="Z305" s="1"/>
      <c r="AB305" s="122"/>
      <c r="AC305" s="122"/>
      <c r="AD305" s="122"/>
      <c r="AE305" s="122"/>
      <c r="AF305" s="122"/>
      <c r="AG305" s="122"/>
      <c r="AH305" s="122"/>
      <c r="AI305" s="122"/>
      <c r="AJ305" s="122"/>
      <c r="AK305" s="122"/>
      <c r="AL305" s="122"/>
      <c r="AM305" s="122"/>
      <c r="AN305" s="122"/>
      <c r="AO305" s="122"/>
      <c r="AP305" s="122"/>
      <c r="AQ305" s="122"/>
      <c r="AR305" s="122"/>
      <c r="AS305" s="122"/>
      <c r="AT305" s="122"/>
      <c r="AU305" s="122"/>
      <c r="AV305" s="122"/>
      <c r="AW305" s="122"/>
      <c r="AX305" s="122"/>
      <c r="AY305" s="122"/>
      <c r="AZ305" s="122"/>
      <c r="BA305" s="122"/>
      <c r="BB305" s="122"/>
      <c r="BC305" s="122"/>
      <c r="BD305" s="122"/>
      <c r="BE305" s="122"/>
      <c r="BF305" s="122"/>
      <c r="BG305" s="122"/>
      <c r="BH305" s="122"/>
      <c r="BI305" s="122"/>
      <c r="BJ305" s="122"/>
      <c r="BK305" s="122"/>
      <c r="BL305" s="122"/>
      <c r="BM305" s="122"/>
      <c r="BN305" s="122"/>
      <c r="BO305" s="122"/>
      <c r="BP305" s="122"/>
      <c r="BQ305" s="122"/>
      <c r="BR305" s="122"/>
      <c r="BS305" s="122"/>
      <c r="BT305" s="122"/>
      <c r="BU305" s="1"/>
      <c r="BV305" s="1"/>
      <c r="BW305" s="1"/>
      <c r="BX305" s="1"/>
      <c r="BY305" s="1"/>
    </row>
    <row r="306" spans="1:77" ht="15.75" customHeight="1" x14ac:dyDescent="0.55000000000000004">
      <c r="A306" s="168"/>
      <c r="B306" s="375"/>
      <c r="C306" s="375"/>
      <c r="D306" s="375"/>
      <c r="E306" s="375"/>
      <c r="F306" s="375"/>
      <c r="G306" s="375"/>
      <c r="H306" s="375"/>
      <c r="I306" s="375"/>
      <c r="J306" s="375"/>
      <c r="K306" s="375"/>
      <c r="L306" s="375"/>
      <c r="M306" s="375"/>
      <c r="N306" s="375"/>
      <c r="O306" s="376"/>
      <c r="P306" s="100" t="s">
        <v>282</v>
      </c>
      <c r="Q306" s="345" t="s">
        <v>274</v>
      </c>
      <c r="R306" s="345"/>
      <c r="S306" s="345"/>
      <c r="T306" s="345"/>
      <c r="U306" s="345"/>
      <c r="V306" s="345"/>
      <c r="W306" s="346"/>
      <c r="X306" s="333">
        <v>0</v>
      </c>
      <c r="Y306" s="334"/>
      <c r="Z306" s="1"/>
      <c r="AB306" s="122"/>
      <c r="AC306" s="122"/>
      <c r="AD306" s="122"/>
      <c r="AE306" s="122"/>
      <c r="AF306" s="122"/>
      <c r="AG306" s="122"/>
      <c r="AH306" s="122"/>
      <c r="AI306" s="122"/>
      <c r="AJ306" s="122"/>
      <c r="AK306" s="122"/>
      <c r="AL306" s="122"/>
      <c r="AM306" s="122"/>
      <c r="AN306" s="122"/>
      <c r="AO306" s="122"/>
      <c r="AP306" s="122"/>
      <c r="AQ306" s="122"/>
      <c r="AR306" s="122"/>
      <c r="AS306" s="122"/>
      <c r="AT306" s="122"/>
      <c r="AU306" s="122"/>
      <c r="AV306" s="122"/>
      <c r="AW306" s="122"/>
      <c r="AX306" s="122"/>
      <c r="AY306" s="122"/>
      <c r="AZ306" s="122"/>
      <c r="BA306" s="122"/>
      <c r="BB306" s="122"/>
      <c r="BC306" s="122"/>
      <c r="BD306" s="122"/>
      <c r="BE306" s="122"/>
      <c r="BF306" s="122"/>
      <c r="BG306" s="122"/>
      <c r="BH306" s="122"/>
      <c r="BI306" s="122"/>
      <c r="BJ306" s="122"/>
      <c r="BK306" s="122"/>
      <c r="BL306" s="122"/>
      <c r="BM306" s="122"/>
      <c r="BN306" s="122"/>
      <c r="BO306" s="122"/>
      <c r="BP306" s="122"/>
      <c r="BQ306" s="122"/>
      <c r="BR306" s="122"/>
      <c r="BS306" s="122"/>
      <c r="BT306" s="122"/>
      <c r="BU306" s="1"/>
      <c r="BV306" s="1"/>
      <c r="BW306" s="1"/>
      <c r="BX306" s="1"/>
      <c r="BY306" s="1"/>
    </row>
    <row r="307" spans="1:77" ht="15.75" customHeight="1" x14ac:dyDescent="0.55000000000000004">
      <c r="A307" s="485"/>
      <c r="B307" s="550"/>
      <c r="C307" s="550"/>
      <c r="D307" s="550"/>
      <c r="E307" s="550"/>
      <c r="F307" s="550"/>
      <c r="G307" s="550"/>
      <c r="H307" s="550"/>
      <c r="I307" s="550"/>
      <c r="J307" s="550"/>
      <c r="K307" s="550"/>
      <c r="L307" s="550"/>
      <c r="M307" s="550"/>
      <c r="N307" s="550"/>
      <c r="O307" s="550"/>
      <c r="P307" s="550"/>
      <c r="Q307" s="550"/>
      <c r="R307" s="550"/>
      <c r="S307" s="550"/>
      <c r="T307" s="550"/>
      <c r="U307" s="550"/>
      <c r="V307" s="550"/>
      <c r="W307" s="550"/>
      <c r="X307" s="550"/>
      <c r="Y307" s="551"/>
      <c r="Z307" s="1"/>
      <c r="AB307" s="122"/>
      <c r="AC307" s="122"/>
      <c r="AD307" s="122"/>
      <c r="AE307" s="122"/>
      <c r="AF307" s="122"/>
      <c r="AG307" s="122"/>
      <c r="AH307" s="122"/>
      <c r="AI307" s="122"/>
      <c r="AJ307" s="122"/>
      <c r="AK307" s="122"/>
      <c r="AL307" s="122"/>
      <c r="AM307" s="122"/>
      <c r="AN307" s="122"/>
      <c r="AO307" s="122"/>
      <c r="AP307" s="122"/>
      <c r="AQ307" s="122"/>
      <c r="AR307" s="122"/>
      <c r="AS307" s="122"/>
      <c r="AT307" s="122"/>
      <c r="AU307" s="122"/>
      <c r="AV307" s="122"/>
      <c r="AW307" s="122"/>
      <c r="AX307" s="122"/>
      <c r="AY307" s="122"/>
      <c r="AZ307" s="122"/>
      <c r="BA307" s="122"/>
      <c r="BB307" s="122"/>
      <c r="BC307" s="122"/>
      <c r="BD307" s="122"/>
      <c r="BE307" s="122"/>
      <c r="BF307" s="122"/>
      <c r="BG307" s="122"/>
      <c r="BH307" s="122"/>
      <c r="BI307" s="122"/>
      <c r="BJ307" s="122"/>
      <c r="BK307" s="122"/>
      <c r="BL307" s="122"/>
      <c r="BM307" s="122"/>
      <c r="BN307" s="122"/>
      <c r="BO307" s="122"/>
      <c r="BP307" s="122"/>
      <c r="BQ307" s="122"/>
      <c r="BR307" s="122"/>
      <c r="BS307" s="122"/>
      <c r="BT307" s="122"/>
      <c r="BU307" s="1"/>
      <c r="BV307" s="1"/>
      <c r="BW307" s="1"/>
      <c r="BX307" s="1"/>
      <c r="BY307" s="1"/>
    </row>
    <row r="308" spans="1:77" ht="15.75" customHeight="1" x14ac:dyDescent="0.55000000000000004">
      <c r="A308" s="629" t="s">
        <v>109</v>
      </c>
      <c r="B308" s="629"/>
      <c r="C308" s="629"/>
      <c r="D308" s="629"/>
      <c r="E308" s="629"/>
      <c r="F308" s="629"/>
      <c r="G308" s="629"/>
      <c r="H308" s="629"/>
      <c r="I308" s="629"/>
      <c r="J308" s="629"/>
      <c r="K308" s="629"/>
      <c r="L308" s="629"/>
      <c r="M308" s="629"/>
      <c r="N308" s="629"/>
      <c r="O308" s="629"/>
      <c r="P308" s="629"/>
      <c r="Q308" s="629"/>
      <c r="R308" s="629"/>
      <c r="S308" s="629"/>
      <c r="T308" s="629"/>
      <c r="U308" s="629"/>
      <c r="V308" s="629"/>
      <c r="W308" s="629"/>
      <c r="X308" s="629"/>
      <c r="Y308" s="629"/>
      <c r="Z308" s="1"/>
      <c r="AB308" s="122"/>
      <c r="AC308" s="122"/>
      <c r="AD308" s="122"/>
      <c r="AE308" s="122"/>
      <c r="AF308" s="122"/>
      <c r="AG308" s="122"/>
      <c r="AH308" s="122"/>
      <c r="AI308" s="122"/>
      <c r="AJ308" s="122"/>
      <c r="AK308" s="122"/>
      <c r="AL308" s="122"/>
      <c r="AM308" s="122"/>
      <c r="AN308" s="122"/>
      <c r="AO308" s="122"/>
      <c r="AP308" s="122"/>
      <c r="AQ308" s="122"/>
      <c r="AR308" s="122"/>
      <c r="AS308" s="122"/>
      <c r="AT308" s="122"/>
      <c r="AU308" s="122"/>
      <c r="AV308" s="122"/>
      <c r="AW308" s="122"/>
      <c r="AX308" s="122"/>
      <c r="AY308" s="122"/>
      <c r="AZ308" s="122"/>
      <c r="BA308" s="122"/>
      <c r="BB308" s="122"/>
      <c r="BC308" s="122"/>
      <c r="BD308" s="122"/>
      <c r="BE308" s="122"/>
      <c r="BF308" s="122"/>
      <c r="BG308" s="122"/>
      <c r="BH308" s="122"/>
      <c r="BI308" s="122"/>
      <c r="BJ308" s="122"/>
      <c r="BK308" s="122"/>
      <c r="BL308" s="122"/>
      <c r="BM308" s="122"/>
      <c r="BN308" s="122"/>
      <c r="BO308" s="122"/>
      <c r="BP308" s="122"/>
      <c r="BQ308" s="122"/>
      <c r="BR308" s="122"/>
      <c r="BS308" s="122"/>
      <c r="BT308" s="122"/>
      <c r="BU308" s="1"/>
      <c r="BV308" s="1"/>
      <c r="BW308" s="1"/>
      <c r="BX308" s="1"/>
      <c r="BY308" s="1"/>
    </row>
    <row r="309" spans="1:77" ht="15.75" customHeight="1" x14ac:dyDescent="0.55000000000000004">
      <c r="A309" s="367" t="s">
        <v>110</v>
      </c>
      <c r="B309" s="368"/>
      <c r="C309" s="368"/>
      <c r="D309" s="368"/>
      <c r="E309" s="368"/>
      <c r="F309" s="368"/>
      <c r="G309" s="368"/>
      <c r="H309" s="368"/>
      <c r="I309" s="368"/>
      <c r="J309" s="368"/>
      <c r="K309" s="368"/>
      <c r="L309" s="368"/>
      <c r="M309" s="368"/>
      <c r="N309" s="368"/>
      <c r="O309" s="369"/>
      <c r="P309" s="625"/>
      <c r="Q309" s="626"/>
      <c r="R309" s="626"/>
      <c r="S309" s="626"/>
      <c r="T309" s="626"/>
      <c r="U309" s="626"/>
      <c r="V309" s="626"/>
      <c r="W309" s="626"/>
      <c r="X309" s="626"/>
      <c r="Y309" s="627"/>
      <c r="Z309" s="1"/>
      <c r="AB309" s="122"/>
      <c r="AC309" s="122"/>
      <c r="AD309" s="122"/>
      <c r="AE309" s="122"/>
      <c r="AF309" s="122"/>
      <c r="AG309" s="122"/>
      <c r="AH309" s="122"/>
      <c r="AI309" s="122"/>
      <c r="AJ309" s="122"/>
      <c r="AK309" s="122"/>
      <c r="AL309" s="122"/>
      <c r="AM309" s="122"/>
      <c r="AN309" s="122"/>
      <c r="AO309" s="122"/>
      <c r="AP309" s="122"/>
      <c r="AQ309" s="122"/>
      <c r="AR309" s="122"/>
      <c r="AS309" s="122"/>
      <c r="AT309" s="122"/>
      <c r="AU309" s="122"/>
      <c r="AV309" s="122"/>
      <c r="AW309" s="122"/>
      <c r="AX309" s="122"/>
      <c r="AY309" s="122"/>
      <c r="AZ309" s="122"/>
      <c r="BA309" s="122"/>
      <c r="BB309" s="122"/>
      <c r="BC309" s="122"/>
      <c r="BD309" s="122"/>
      <c r="BE309" s="122"/>
      <c r="BF309" s="122"/>
      <c r="BG309" s="122"/>
      <c r="BH309" s="122"/>
      <c r="BI309" s="122"/>
      <c r="BJ309" s="122"/>
      <c r="BK309" s="122"/>
      <c r="BL309" s="122"/>
      <c r="BM309" s="122"/>
      <c r="BN309" s="122"/>
      <c r="BO309" s="122"/>
      <c r="BP309" s="122"/>
      <c r="BQ309" s="122"/>
      <c r="BR309" s="122"/>
      <c r="BS309" s="122"/>
      <c r="BT309" s="122"/>
      <c r="BU309" s="1"/>
      <c r="BV309" s="1"/>
      <c r="BW309" s="1"/>
      <c r="BX309" s="1"/>
      <c r="BY309" s="1"/>
    </row>
    <row r="310" spans="1:77" ht="15.75" customHeight="1" x14ac:dyDescent="0.55000000000000004">
      <c r="A310" s="46"/>
      <c r="B310" s="347" t="s">
        <v>111</v>
      </c>
      <c r="C310" s="348"/>
      <c r="D310" s="348"/>
      <c r="E310" s="348"/>
      <c r="F310" s="348"/>
      <c r="G310" s="348"/>
      <c r="H310" s="348"/>
      <c r="I310" s="348"/>
      <c r="J310" s="348"/>
      <c r="K310" s="348"/>
      <c r="L310" s="348"/>
      <c r="M310" s="348"/>
      <c r="N310" s="348"/>
      <c r="O310" s="349"/>
      <c r="P310" s="350" t="s">
        <v>50</v>
      </c>
      <c r="Q310" s="351"/>
      <c r="R310" s="351"/>
      <c r="S310" s="351"/>
      <c r="T310" s="351"/>
      <c r="U310" s="351"/>
      <c r="V310" s="351"/>
      <c r="W310" s="351"/>
      <c r="X310" s="352" t="s">
        <v>49</v>
      </c>
      <c r="Y310" s="353"/>
      <c r="Z310" s="1"/>
      <c r="AA310" s="1"/>
      <c r="AB310" s="122"/>
      <c r="AC310" s="122"/>
      <c r="AD310" s="122"/>
      <c r="AE310" s="122"/>
      <c r="AF310" s="122"/>
      <c r="AG310" s="122"/>
      <c r="AH310" s="122"/>
      <c r="AI310" s="122"/>
      <c r="AJ310" s="122"/>
      <c r="AK310" s="122"/>
      <c r="AL310" s="122"/>
      <c r="AM310" s="122"/>
      <c r="AN310" s="122"/>
      <c r="AO310" s="122"/>
      <c r="AP310" s="122"/>
      <c r="AQ310" s="122"/>
      <c r="AR310" s="122"/>
      <c r="AS310" s="122"/>
      <c r="AT310" s="122"/>
      <c r="AU310" s="122"/>
      <c r="AV310" s="122"/>
      <c r="AW310" s="122"/>
      <c r="AX310" s="122"/>
      <c r="AY310" s="122"/>
      <c r="AZ310" s="122"/>
      <c r="BA310" s="122"/>
      <c r="BB310" s="122"/>
      <c r="BC310" s="122"/>
      <c r="BD310" s="122"/>
      <c r="BE310" s="122"/>
      <c r="BF310" s="122"/>
      <c r="BG310" s="122"/>
      <c r="BH310" s="122"/>
      <c r="BI310" s="122"/>
      <c r="BJ310" s="122"/>
      <c r="BK310" s="122"/>
      <c r="BL310" s="122"/>
      <c r="BM310" s="122"/>
      <c r="BN310" s="122"/>
      <c r="BO310" s="122"/>
      <c r="BP310" s="122"/>
      <c r="BQ310" s="122"/>
      <c r="BR310" s="122"/>
      <c r="BS310" s="122"/>
      <c r="BT310" s="122"/>
      <c r="BU310" s="1"/>
      <c r="BV310" s="1"/>
      <c r="BW310" s="1"/>
      <c r="BX310" s="1"/>
      <c r="BY310" s="1"/>
    </row>
    <row r="311" spans="1:77" ht="15.75" customHeight="1" x14ac:dyDescent="0.55000000000000004">
      <c r="A311" s="46"/>
      <c r="B311" s="46" t="s">
        <v>75</v>
      </c>
      <c r="C311" s="628" t="s">
        <v>432</v>
      </c>
      <c r="D311" s="628"/>
      <c r="E311" s="628"/>
      <c r="F311" s="628"/>
      <c r="G311" s="628"/>
      <c r="H311" s="628"/>
      <c r="I311" s="628"/>
      <c r="J311" s="628"/>
      <c r="K311" s="628"/>
      <c r="L311" s="628"/>
      <c r="M311" s="628"/>
      <c r="N311" s="628"/>
      <c r="O311" s="628"/>
      <c r="P311" s="120" t="s">
        <v>280</v>
      </c>
      <c r="Q311" s="132" t="s">
        <v>273</v>
      </c>
      <c r="R311" s="132"/>
      <c r="S311" s="132"/>
      <c r="T311" s="132"/>
      <c r="U311" s="132"/>
      <c r="V311" s="132"/>
      <c r="W311" s="133"/>
      <c r="X311" s="343">
        <v>1</v>
      </c>
      <c r="Y311" s="330"/>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row>
    <row r="312" spans="1:77" ht="15.75" customHeight="1" x14ac:dyDescent="0.55000000000000004">
      <c r="A312" s="46"/>
      <c r="B312" s="46"/>
      <c r="C312" s="375" t="s">
        <v>433</v>
      </c>
      <c r="D312" s="375"/>
      <c r="E312" s="375"/>
      <c r="F312" s="375"/>
      <c r="G312" s="375"/>
      <c r="H312" s="375"/>
      <c r="I312" s="375"/>
      <c r="J312" s="375"/>
      <c r="K312" s="375"/>
      <c r="L312" s="375"/>
      <c r="M312" s="375"/>
      <c r="N312" s="375"/>
      <c r="O312" s="375"/>
      <c r="P312" s="156"/>
      <c r="Q312" s="70"/>
      <c r="R312" s="157"/>
      <c r="S312" s="74"/>
      <c r="T312" s="74"/>
      <c r="U312" s="1"/>
      <c r="V312" s="1"/>
      <c r="W312" s="165"/>
      <c r="X312" s="37"/>
      <c r="Y312" s="165"/>
      <c r="Z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row>
    <row r="313" spans="1:77" ht="15.75" customHeight="1" x14ac:dyDescent="0.55000000000000004">
      <c r="A313" s="46"/>
      <c r="B313" s="46" t="s">
        <v>13</v>
      </c>
      <c r="C313" s="375"/>
      <c r="D313" s="375"/>
      <c r="E313" s="375"/>
      <c r="F313" s="375"/>
      <c r="G313" s="375"/>
      <c r="H313" s="375"/>
      <c r="I313" s="375"/>
      <c r="J313" s="375"/>
      <c r="K313" s="375"/>
      <c r="L313" s="375"/>
      <c r="M313" s="375"/>
      <c r="N313" s="375"/>
      <c r="O313" s="375"/>
      <c r="P313" s="344" t="s">
        <v>281</v>
      </c>
      <c r="Q313" s="372" t="s">
        <v>440</v>
      </c>
      <c r="R313" s="372"/>
      <c r="S313" s="372"/>
      <c r="T313" s="372"/>
      <c r="U313" s="372"/>
      <c r="V313" s="372"/>
      <c r="W313" s="373"/>
      <c r="X313" s="344">
        <v>0.5</v>
      </c>
      <c r="Y313" s="332"/>
      <c r="Z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row>
    <row r="314" spans="1:77" ht="15.75" customHeight="1" x14ac:dyDescent="0.55000000000000004">
      <c r="A314" s="46"/>
      <c r="B314" s="46" t="s">
        <v>75</v>
      </c>
      <c r="C314" s="375" t="s">
        <v>434</v>
      </c>
      <c r="D314" s="375"/>
      <c r="E314" s="375"/>
      <c r="F314" s="375"/>
      <c r="G314" s="375"/>
      <c r="H314" s="375"/>
      <c r="I314" s="375"/>
      <c r="J314" s="375"/>
      <c r="K314" s="375"/>
      <c r="L314" s="375"/>
      <c r="M314" s="375"/>
      <c r="N314" s="375"/>
      <c r="O314" s="375"/>
      <c r="P314" s="344"/>
      <c r="Q314" s="372"/>
      <c r="R314" s="372"/>
      <c r="S314" s="372"/>
      <c r="T314" s="372"/>
      <c r="U314" s="372"/>
      <c r="V314" s="372"/>
      <c r="W314" s="373"/>
      <c r="X314" s="344"/>
      <c r="Y314" s="332"/>
      <c r="Z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row>
    <row r="315" spans="1:77" ht="15.75" customHeight="1" x14ac:dyDescent="0.55000000000000004">
      <c r="A315" s="46"/>
      <c r="B315" s="46"/>
      <c r="C315" s="375"/>
      <c r="D315" s="375"/>
      <c r="E315" s="375"/>
      <c r="F315" s="375"/>
      <c r="G315" s="375"/>
      <c r="H315" s="375"/>
      <c r="I315" s="375"/>
      <c r="J315" s="375"/>
      <c r="K315" s="375"/>
      <c r="L315" s="375"/>
      <c r="M315" s="375"/>
      <c r="N315" s="375"/>
      <c r="O315" s="375"/>
      <c r="P315" s="66"/>
      <c r="W315" s="115"/>
      <c r="X315" s="66"/>
      <c r="Y315" s="115"/>
      <c r="Z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row>
    <row r="316" spans="1:77" ht="15.75" customHeight="1" x14ac:dyDescent="0.55000000000000004">
      <c r="A316" s="46"/>
      <c r="B316" s="46" t="s">
        <v>72</v>
      </c>
      <c r="C316" s="628" t="s">
        <v>435</v>
      </c>
      <c r="D316" s="628"/>
      <c r="E316" s="628"/>
      <c r="F316" s="628"/>
      <c r="G316" s="628"/>
      <c r="H316" s="628"/>
      <c r="I316" s="628"/>
      <c r="J316" s="628"/>
      <c r="K316" s="628"/>
      <c r="L316" s="628"/>
      <c r="M316" s="628"/>
      <c r="N316" s="628"/>
      <c r="O316" s="628"/>
      <c r="P316" s="344" t="s">
        <v>282</v>
      </c>
      <c r="Q316" s="358" t="s">
        <v>441</v>
      </c>
      <c r="R316" s="358"/>
      <c r="S316" s="358"/>
      <c r="T316" s="358"/>
      <c r="U316" s="358"/>
      <c r="V316" s="358"/>
      <c r="W316" s="359"/>
      <c r="X316" s="396">
        <v>0</v>
      </c>
      <c r="Y316" s="397"/>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row>
    <row r="317" spans="1:77" ht="15.75" customHeight="1" x14ac:dyDescent="0.55000000000000004">
      <c r="A317" s="46"/>
      <c r="B317" s="46"/>
      <c r="C317" s="375" t="s">
        <v>436</v>
      </c>
      <c r="D317" s="375"/>
      <c r="E317" s="375"/>
      <c r="F317" s="375"/>
      <c r="G317" s="375"/>
      <c r="H317" s="375"/>
      <c r="I317" s="375"/>
      <c r="J317" s="375"/>
      <c r="K317" s="375"/>
      <c r="L317" s="375"/>
      <c r="M317" s="375"/>
      <c r="N317" s="375"/>
      <c r="O317" s="375"/>
      <c r="P317" s="344"/>
      <c r="Q317" s="358"/>
      <c r="R317" s="358"/>
      <c r="S317" s="358"/>
      <c r="T317" s="358"/>
      <c r="U317" s="358"/>
      <c r="V317" s="358"/>
      <c r="W317" s="359"/>
      <c r="X317" s="396"/>
      <c r="Y317" s="397"/>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row>
    <row r="318" spans="1:77" ht="15.75" customHeight="1" x14ac:dyDescent="0.55000000000000004">
      <c r="A318" s="46"/>
      <c r="B318" s="46" t="s">
        <v>13</v>
      </c>
      <c r="C318" s="375"/>
      <c r="D318" s="375"/>
      <c r="E318" s="375"/>
      <c r="F318" s="375"/>
      <c r="G318" s="375"/>
      <c r="H318" s="375"/>
      <c r="I318" s="375"/>
      <c r="J318" s="375"/>
      <c r="K318" s="375"/>
      <c r="L318" s="375"/>
      <c r="M318" s="375"/>
      <c r="N318" s="375"/>
      <c r="O318" s="375"/>
      <c r="P318" s="66"/>
      <c r="W318" s="115"/>
      <c r="X318" s="66"/>
      <c r="Y318" s="115"/>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row>
    <row r="319" spans="1:77" ht="15.75" customHeight="1" x14ac:dyDescent="0.55000000000000004">
      <c r="A319" s="46"/>
      <c r="B319" s="45"/>
      <c r="C319" s="375"/>
      <c r="D319" s="375"/>
      <c r="E319" s="375"/>
      <c r="F319" s="375"/>
      <c r="G319" s="375"/>
      <c r="H319" s="375"/>
      <c r="I319" s="375"/>
      <c r="J319" s="375"/>
      <c r="K319" s="375"/>
      <c r="L319" s="375"/>
      <c r="M319" s="375"/>
      <c r="N319" s="375"/>
      <c r="O319" s="375"/>
      <c r="P319" s="117" t="s">
        <v>282</v>
      </c>
      <c r="Q319" s="358" t="s">
        <v>442</v>
      </c>
      <c r="R319" s="358"/>
      <c r="S319" s="358"/>
      <c r="T319" s="358"/>
      <c r="U319" s="358"/>
      <c r="V319" s="358"/>
      <c r="W319" s="359"/>
      <c r="X319" s="396">
        <v>0</v>
      </c>
      <c r="Y319" s="397"/>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row>
    <row r="320" spans="1:77" ht="15.75" customHeight="1" x14ac:dyDescent="0.55000000000000004">
      <c r="A320" s="46"/>
      <c r="B320" s="46" t="s">
        <v>75</v>
      </c>
      <c r="C320" s="628" t="s">
        <v>437</v>
      </c>
      <c r="D320" s="628"/>
      <c r="E320" s="628"/>
      <c r="F320" s="628"/>
      <c r="G320" s="628"/>
      <c r="H320" s="628"/>
      <c r="I320" s="628"/>
      <c r="J320" s="628"/>
      <c r="K320" s="628"/>
      <c r="L320" s="628"/>
      <c r="M320" s="628"/>
      <c r="N320" s="628"/>
      <c r="O320" s="628"/>
      <c r="P320" s="66"/>
      <c r="W320" s="115"/>
      <c r="X320" s="66"/>
      <c r="Y320" s="115"/>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row>
    <row r="321" spans="1:77" ht="15.75" customHeight="1" x14ac:dyDescent="0.55000000000000004">
      <c r="A321" s="46"/>
      <c r="B321" s="45"/>
      <c r="C321" s="628" t="s">
        <v>438</v>
      </c>
      <c r="D321" s="628"/>
      <c r="E321" s="628"/>
      <c r="F321" s="628"/>
      <c r="G321" s="628"/>
      <c r="H321" s="628"/>
      <c r="I321" s="628"/>
      <c r="J321" s="628"/>
      <c r="K321" s="628"/>
      <c r="L321" s="628"/>
      <c r="M321" s="628"/>
      <c r="N321" s="628"/>
      <c r="O321" s="628"/>
      <c r="P321" s="156"/>
      <c r="Q321" s="70"/>
      <c r="R321" s="157"/>
      <c r="S321" s="532"/>
      <c r="T321" s="532"/>
      <c r="U321" s="1"/>
      <c r="V321" s="1"/>
      <c r="W321" s="165"/>
      <c r="X321" s="37"/>
      <c r="Y321" s="165"/>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row>
    <row r="322" spans="1:77" ht="15.75" customHeight="1" x14ac:dyDescent="0.55000000000000004">
      <c r="A322" s="46"/>
      <c r="B322" s="46" t="s">
        <v>75</v>
      </c>
      <c r="C322" s="375" t="s">
        <v>439</v>
      </c>
      <c r="D322" s="375"/>
      <c r="E322" s="375"/>
      <c r="F322" s="375"/>
      <c r="G322" s="375"/>
      <c r="H322" s="375"/>
      <c r="I322" s="375"/>
      <c r="J322" s="375"/>
      <c r="K322" s="375"/>
      <c r="L322" s="375"/>
      <c r="M322" s="375"/>
      <c r="N322" s="375"/>
      <c r="O322" s="375"/>
      <c r="P322" s="113" t="s">
        <v>282</v>
      </c>
      <c r="Q322" s="441" t="s">
        <v>274</v>
      </c>
      <c r="R322" s="441"/>
      <c r="S322" s="441"/>
      <c r="T322" s="441"/>
      <c r="U322" s="441"/>
      <c r="V322" s="441"/>
      <c r="W322" s="442"/>
      <c r="X322" s="344">
        <v>0</v>
      </c>
      <c r="Y322" s="332"/>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row>
    <row r="323" spans="1:77" ht="15.75" customHeight="1" x14ac:dyDescent="0.55000000000000004">
      <c r="A323" s="46"/>
      <c r="B323" s="45"/>
      <c r="C323" s="375"/>
      <c r="D323" s="375"/>
      <c r="E323" s="375"/>
      <c r="F323" s="375"/>
      <c r="G323" s="375"/>
      <c r="H323" s="375"/>
      <c r="I323" s="375"/>
      <c r="J323" s="375"/>
      <c r="K323" s="375"/>
      <c r="L323" s="375"/>
      <c r="M323" s="375"/>
      <c r="N323" s="375"/>
      <c r="O323" s="375"/>
      <c r="P323" s="137"/>
      <c r="Q323" s="138"/>
      <c r="R323" s="139"/>
      <c r="S323" s="531"/>
      <c r="T323" s="531"/>
      <c r="U323" s="141"/>
      <c r="V323" s="141"/>
      <c r="W323" s="142"/>
      <c r="X323" s="143"/>
      <c r="Y323" s="142"/>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row>
    <row r="324" spans="1:77" ht="17.399999999999999" x14ac:dyDescent="0.55000000000000004">
      <c r="A324" s="46"/>
      <c r="B324" s="347" t="s">
        <v>446</v>
      </c>
      <c r="C324" s="348"/>
      <c r="D324" s="348"/>
      <c r="E324" s="348"/>
      <c r="F324" s="348"/>
      <c r="G324" s="348"/>
      <c r="H324" s="348"/>
      <c r="I324" s="348"/>
      <c r="J324" s="348"/>
      <c r="K324" s="348"/>
      <c r="L324" s="348"/>
      <c r="M324" s="348"/>
      <c r="N324" s="348"/>
      <c r="O324" s="349"/>
      <c r="P324" s="350" t="s">
        <v>50</v>
      </c>
      <c r="Q324" s="351"/>
      <c r="R324" s="351"/>
      <c r="S324" s="351"/>
      <c r="T324" s="351"/>
      <c r="U324" s="351"/>
      <c r="V324" s="351"/>
      <c r="W324" s="351"/>
      <c r="X324" s="352" t="s">
        <v>49</v>
      </c>
      <c r="Y324" s="353"/>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row>
    <row r="325" spans="1:77" ht="15.75" customHeight="1" x14ac:dyDescent="0.55000000000000004">
      <c r="A325" s="46"/>
      <c r="B325" s="46"/>
      <c r="C325" s="375" t="s">
        <v>444</v>
      </c>
      <c r="D325" s="375"/>
      <c r="E325" s="375"/>
      <c r="F325" s="375"/>
      <c r="G325" s="375"/>
      <c r="H325" s="375"/>
      <c r="I325" s="375"/>
      <c r="J325" s="375"/>
      <c r="K325" s="375"/>
      <c r="L325" s="375"/>
      <c r="M325" s="375"/>
      <c r="N325" s="375"/>
      <c r="O325" s="375"/>
      <c r="P325" s="120" t="s">
        <v>280</v>
      </c>
      <c r="Q325" s="132" t="s">
        <v>273</v>
      </c>
      <c r="R325" s="132"/>
      <c r="S325" s="132"/>
      <c r="T325" s="132"/>
      <c r="U325" s="132"/>
      <c r="V325" s="132"/>
      <c r="W325" s="133"/>
      <c r="X325" s="343">
        <v>1</v>
      </c>
      <c r="Y325" s="330"/>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row>
    <row r="326" spans="1:77" ht="15.75" customHeight="1" x14ac:dyDescent="0.55000000000000004">
      <c r="A326" s="46"/>
      <c r="B326" s="46"/>
      <c r="C326" s="375"/>
      <c r="D326" s="375"/>
      <c r="E326" s="375"/>
      <c r="F326" s="375"/>
      <c r="G326" s="375"/>
      <c r="H326" s="375"/>
      <c r="I326" s="375"/>
      <c r="J326" s="375"/>
      <c r="K326" s="375"/>
      <c r="L326" s="375"/>
      <c r="M326" s="375"/>
      <c r="N326" s="375"/>
      <c r="O326" s="375"/>
      <c r="P326" s="156"/>
      <c r="Q326" s="70"/>
      <c r="R326" s="157"/>
      <c r="S326" s="158"/>
      <c r="T326" s="158"/>
      <c r="U326" s="123"/>
      <c r="V326" s="123"/>
      <c r="W326" s="124"/>
      <c r="X326" s="159"/>
      <c r="Y326" s="124"/>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row>
    <row r="327" spans="1:77" ht="15.75" customHeight="1" x14ac:dyDescent="0.55000000000000004">
      <c r="A327" s="46"/>
      <c r="B327" s="46"/>
      <c r="C327" s="375" t="s">
        <v>445</v>
      </c>
      <c r="D327" s="375"/>
      <c r="E327" s="375"/>
      <c r="F327" s="375"/>
      <c r="G327" s="375"/>
      <c r="H327" s="375"/>
      <c r="I327" s="375"/>
      <c r="J327" s="375"/>
      <c r="K327" s="375"/>
      <c r="L327" s="375"/>
      <c r="M327" s="375"/>
      <c r="N327" s="375"/>
      <c r="O327" s="375"/>
      <c r="P327" s="156"/>
      <c r="Q327" s="70"/>
      <c r="R327" s="157"/>
      <c r="S327" s="158"/>
      <c r="T327" s="158"/>
      <c r="U327" s="123"/>
      <c r="V327" s="123"/>
      <c r="W327" s="124"/>
      <c r="X327" s="159"/>
      <c r="Y327" s="124"/>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row>
    <row r="328" spans="1:77" ht="15.75" customHeight="1" x14ac:dyDescent="0.55000000000000004">
      <c r="A328" s="46"/>
      <c r="B328" s="46"/>
      <c r="C328" s="375"/>
      <c r="D328" s="375"/>
      <c r="E328" s="375"/>
      <c r="F328" s="375"/>
      <c r="G328" s="375"/>
      <c r="H328" s="375"/>
      <c r="I328" s="375"/>
      <c r="J328" s="375"/>
      <c r="K328" s="375"/>
      <c r="L328" s="375"/>
      <c r="M328" s="375"/>
      <c r="N328" s="375"/>
      <c r="O328" s="375"/>
      <c r="P328" s="117" t="s">
        <v>281</v>
      </c>
      <c r="Q328" s="7" t="s">
        <v>292</v>
      </c>
      <c r="R328" s="7"/>
      <c r="S328" s="7"/>
      <c r="T328" s="7"/>
      <c r="U328" s="7"/>
      <c r="V328" s="7"/>
      <c r="W328" s="121"/>
      <c r="X328" s="344">
        <v>0.5</v>
      </c>
      <c r="Y328" s="332"/>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row>
    <row r="329" spans="1:77" ht="15.75" customHeight="1" x14ac:dyDescent="0.55000000000000004">
      <c r="A329" s="46"/>
      <c r="B329" s="46"/>
      <c r="C329" s="375"/>
      <c r="D329" s="375"/>
      <c r="E329" s="375"/>
      <c r="F329" s="375"/>
      <c r="G329" s="375"/>
      <c r="H329" s="375"/>
      <c r="I329" s="375"/>
      <c r="J329" s="375"/>
      <c r="K329" s="375"/>
      <c r="L329" s="375"/>
      <c r="M329" s="375"/>
      <c r="N329" s="375"/>
      <c r="O329" s="375"/>
      <c r="P329" s="156"/>
      <c r="Q329" s="70"/>
      <c r="R329" s="157"/>
      <c r="S329" s="158"/>
      <c r="T329" s="158"/>
      <c r="U329" s="123"/>
      <c r="V329" s="123"/>
      <c r="W329" s="124"/>
      <c r="X329" s="159"/>
      <c r="Y329" s="124"/>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row>
    <row r="330" spans="1:77" ht="15.75" customHeight="1" x14ac:dyDescent="0.55000000000000004">
      <c r="A330" s="46"/>
      <c r="B330" s="46"/>
      <c r="C330" s="375"/>
      <c r="D330" s="375"/>
      <c r="E330" s="375"/>
      <c r="F330" s="375"/>
      <c r="G330" s="375"/>
      <c r="H330" s="375"/>
      <c r="I330" s="375"/>
      <c r="J330" s="375"/>
      <c r="K330" s="375"/>
      <c r="L330" s="375"/>
      <c r="M330" s="375"/>
      <c r="N330" s="375"/>
      <c r="O330" s="375"/>
      <c r="P330" s="66"/>
      <c r="W330" s="115"/>
      <c r="X330" s="66"/>
      <c r="Y330" s="115"/>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row>
    <row r="331" spans="1:77" ht="15.75" customHeight="1" x14ac:dyDescent="0.55000000000000004">
      <c r="A331" s="46"/>
      <c r="B331" s="46"/>
      <c r="C331" s="375"/>
      <c r="D331" s="375"/>
      <c r="E331" s="375"/>
      <c r="F331" s="375"/>
      <c r="G331" s="375"/>
      <c r="H331" s="375"/>
      <c r="I331" s="375"/>
      <c r="J331" s="375"/>
      <c r="K331" s="375"/>
      <c r="L331" s="375"/>
      <c r="M331" s="375"/>
      <c r="N331" s="375"/>
      <c r="O331" s="375"/>
      <c r="P331" s="113" t="s">
        <v>282</v>
      </c>
      <c r="Q331" s="441" t="s">
        <v>398</v>
      </c>
      <c r="R331" s="441"/>
      <c r="S331" s="441"/>
      <c r="T331" s="441"/>
      <c r="U331" s="441"/>
      <c r="V331" s="441"/>
      <c r="W331" s="442"/>
      <c r="X331" s="344">
        <v>0</v>
      </c>
      <c r="Y331" s="332"/>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row>
    <row r="332" spans="1:77" ht="15.75" customHeight="1" x14ac:dyDescent="0.55000000000000004">
      <c r="A332" s="46"/>
      <c r="B332" s="46"/>
      <c r="C332" s="375" t="s">
        <v>447</v>
      </c>
      <c r="D332" s="375"/>
      <c r="E332" s="375"/>
      <c r="F332" s="375"/>
      <c r="G332" s="375"/>
      <c r="H332" s="375"/>
      <c r="I332" s="375"/>
      <c r="J332" s="375"/>
      <c r="K332" s="375"/>
      <c r="L332" s="375"/>
      <c r="M332" s="375"/>
      <c r="N332" s="375"/>
      <c r="O332" s="375"/>
      <c r="P332" s="156"/>
      <c r="Q332" s="70"/>
      <c r="R332" s="157"/>
      <c r="S332" s="158"/>
      <c r="T332" s="158"/>
      <c r="U332" s="2"/>
      <c r="V332" s="2"/>
      <c r="W332" s="161"/>
      <c r="X332" s="160"/>
      <c r="Y332" s="16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row>
    <row r="333" spans="1:77" ht="15.75" customHeight="1" x14ac:dyDescent="0.55000000000000004">
      <c r="A333" s="46"/>
      <c r="B333" s="46" t="s">
        <v>72</v>
      </c>
      <c r="C333" s="375"/>
      <c r="D333" s="375"/>
      <c r="E333" s="375"/>
      <c r="F333" s="375"/>
      <c r="G333" s="375"/>
      <c r="H333" s="375"/>
      <c r="I333" s="375"/>
      <c r="J333" s="375"/>
      <c r="K333" s="375"/>
      <c r="L333" s="375"/>
      <c r="M333" s="375"/>
      <c r="N333" s="375"/>
      <c r="O333" s="375"/>
      <c r="P333" s="66"/>
      <c r="W333" s="115"/>
      <c r="X333" s="66"/>
      <c r="Y333" s="115"/>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row>
    <row r="334" spans="1:77" ht="15.75" customHeight="1" x14ac:dyDescent="0.55000000000000004">
      <c r="A334" s="46"/>
      <c r="B334" s="46"/>
      <c r="C334" s="375"/>
      <c r="D334" s="375"/>
      <c r="E334" s="375"/>
      <c r="F334" s="375"/>
      <c r="G334" s="375"/>
      <c r="H334" s="375"/>
      <c r="I334" s="375"/>
      <c r="J334" s="375"/>
      <c r="K334" s="375"/>
      <c r="L334" s="375"/>
      <c r="M334" s="375"/>
      <c r="N334" s="375"/>
      <c r="O334" s="375"/>
      <c r="P334" s="100" t="s">
        <v>282</v>
      </c>
      <c r="Q334" s="345" t="s">
        <v>274</v>
      </c>
      <c r="R334" s="345"/>
      <c r="S334" s="345"/>
      <c r="T334" s="345"/>
      <c r="U334" s="345"/>
      <c r="V334" s="345"/>
      <c r="W334" s="346"/>
      <c r="X334" s="333">
        <v>0</v>
      </c>
      <c r="Y334" s="334"/>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row>
    <row r="335" spans="1:77" ht="39.75" customHeight="1" x14ac:dyDescent="0.55000000000000004">
      <c r="A335" s="46"/>
      <c r="B335" s="533" t="s">
        <v>448</v>
      </c>
      <c r="C335" s="459"/>
      <c r="D335" s="459"/>
      <c r="E335" s="459"/>
      <c r="F335" s="459"/>
      <c r="G335" s="459"/>
      <c r="H335" s="459"/>
      <c r="I335" s="459"/>
      <c r="J335" s="459"/>
      <c r="K335" s="459"/>
      <c r="L335" s="459"/>
      <c r="M335" s="459"/>
      <c r="N335" s="459"/>
      <c r="O335" s="460"/>
      <c r="P335" s="350" t="s">
        <v>50</v>
      </c>
      <c r="Q335" s="351"/>
      <c r="R335" s="351"/>
      <c r="S335" s="351"/>
      <c r="T335" s="351"/>
      <c r="U335" s="351"/>
      <c r="V335" s="351"/>
      <c r="W335" s="351"/>
      <c r="X335" s="352" t="s">
        <v>49</v>
      </c>
      <c r="Y335" s="353"/>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row>
    <row r="336" spans="1:77" ht="15.75" customHeight="1" x14ac:dyDescent="0.55000000000000004">
      <c r="A336" s="45"/>
      <c r="B336" s="45" t="s">
        <v>72</v>
      </c>
      <c r="C336" s="375" t="s">
        <v>450</v>
      </c>
      <c r="D336" s="375"/>
      <c r="E336" s="375"/>
      <c r="F336" s="375"/>
      <c r="G336" s="375"/>
      <c r="H336" s="375"/>
      <c r="I336" s="375"/>
      <c r="J336" s="375"/>
      <c r="K336" s="375"/>
      <c r="L336" s="375"/>
      <c r="M336" s="375"/>
      <c r="N336" s="375"/>
      <c r="O336" s="376"/>
      <c r="P336" s="120" t="s">
        <v>280</v>
      </c>
      <c r="Q336" s="132" t="s">
        <v>273</v>
      </c>
      <c r="R336" s="132"/>
      <c r="S336" s="132"/>
      <c r="T336" s="132"/>
      <c r="U336" s="132"/>
      <c r="V336" s="132"/>
      <c r="W336" s="133"/>
      <c r="X336" s="343">
        <v>1</v>
      </c>
      <c r="Y336" s="330"/>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row>
    <row r="337" spans="1:77" ht="15.75" customHeight="1" x14ac:dyDescent="0.55000000000000004">
      <c r="A337" s="45"/>
      <c r="B337" s="45"/>
      <c r="C337" s="375"/>
      <c r="D337" s="375"/>
      <c r="E337" s="375"/>
      <c r="F337" s="375"/>
      <c r="G337" s="375"/>
      <c r="H337" s="375"/>
      <c r="I337" s="375"/>
      <c r="J337" s="375"/>
      <c r="K337" s="375"/>
      <c r="L337" s="375"/>
      <c r="M337" s="375"/>
      <c r="N337" s="375"/>
      <c r="O337" s="376"/>
      <c r="P337" s="156"/>
      <c r="Q337" s="70"/>
      <c r="R337" s="157"/>
      <c r="S337" s="158"/>
      <c r="T337" s="158"/>
      <c r="U337" s="2"/>
      <c r="V337" s="2"/>
      <c r="W337" s="161"/>
      <c r="X337" s="160"/>
      <c r="Y337" s="16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row>
    <row r="338" spans="1:77" ht="15.75" customHeight="1" x14ac:dyDescent="0.55000000000000004">
      <c r="A338" s="45"/>
      <c r="B338" s="45" t="s">
        <v>13</v>
      </c>
      <c r="C338" s="375" t="s">
        <v>451</v>
      </c>
      <c r="D338" s="375"/>
      <c r="E338" s="375"/>
      <c r="F338" s="375"/>
      <c r="G338" s="375"/>
      <c r="H338" s="375"/>
      <c r="I338" s="375"/>
      <c r="J338" s="375"/>
      <c r="K338" s="375"/>
      <c r="L338" s="375"/>
      <c r="M338" s="375"/>
      <c r="N338" s="375"/>
      <c r="O338" s="376"/>
      <c r="P338" s="117" t="s">
        <v>281</v>
      </c>
      <c r="Q338" s="358" t="s">
        <v>415</v>
      </c>
      <c r="R338" s="358"/>
      <c r="S338" s="358"/>
      <c r="T338" s="358"/>
      <c r="U338" s="358"/>
      <c r="V338" s="358"/>
      <c r="W338" s="359"/>
      <c r="X338" s="344">
        <v>0.5</v>
      </c>
      <c r="Y338" s="332"/>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row>
    <row r="339" spans="1:77" ht="15.75" customHeight="1" x14ac:dyDescent="0.55000000000000004">
      <c r="A339" s="45"/>
      <c r="B339" s="45"/>
      <c r="C339" s="375"/>
      <c r="D339" s="375"/>
      <c r="E339" s="375"/>
      <c r="F339" s="375"/>
      <c r="G339" s="375"/>
      <c r="H339" s="375"/>
      <c r="I339" s="375"/>
      <c r="J339" s="375"/>
      <c r="K339" s="375"/>
      <c r="L339" s="375"/>
      <c r="M339" s="375"/>
      <c r="N339" s="375"/>
      <c r="O339" s="376"/>
      <c r="P339" s="156"/>
      <c r="Q339" s="70"/>
      <c r="R339" s="157"/>
      <c r="S339" s="158"/>
      <c r="T339" s="158"/>
      <c r="U339" s="2"/>
      <c r="V339" s="2"/>
      <c r="W339" s="161"/>
      <c r="X339" s="160"/>
      <c r="Y339" s="16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row>
    <row r="340" spans="1:77" ht="15.75" customHeight="1" x14ac:dyDescent="0.55000000000000004">
      <c r="A340" s="45"/>
      <c r="B340" s="45" t="s">
        <v>13</v>
      </c>
      <c r="C340" s="375" t="s">
        <v>485</v>
      </c>
      <c r="D340" s="375"/>
      <c r="E340" s="375"/>
      <c r="F340" s="375"/>
      <c r="G340" s="375"/>
      <c r="H340" s="375"/>
      <c r="I340" s="375"/>
      <c r="J340" s="375"/>
      <c r="K340" s="375"/>
      <c r="L340" s="375"/>
      <c r="M340" s="375"/>
      <c r="N340" s="375"/>
      <c r="O340" s="376"/>
      <c r="P340" s="344" t="s">
        <v>282</v>
      </c>
      <c r="Q340" s="630" t="s">
        <v>416</v>
      </c>
      <c r="R340" s="630"/>
      <c r="S340" s="630"/>
      <c r="T340" s="630"/>
      <c r="U340" s="630"/>
      <c r="V340" s="630"/>
      <c r="W340" s="631"/>
      <c r="X340" s="344">
        <v>0</v>
      </c>
      <c r="Y340" s="332"/>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row>
    <row r="341" spans="1:77" ht="15.75" customHeight="1" x14ac:dyDescent="0.55000000000000004">
      <c r="A341" s="45"/>
      <c r="B341" s="45"/>
      <c r="C341" s="375"/>
      <c r="D341" s="375"/>
      <c r="E341" s="375"/>
      <c r="F341" s="375"/>
      <c r="G341" s="375"/>
      <c r="H341" s="375"/>
      <c r="I341" s="375"/>
      <c r="J341" s="375"/>
      <c r="K341" s="375"/>
      <c r="L341" s="375"/>
      <c r="M341" s="375"/>
      <c r="N341" s="375"/>
      <c r="O341" s="376"/>
      <c r="P341" s="344"/>
      <c r="Q341" s="630"/>
      <c r="R341" s="630"/>
      <c r="S341" s="630"/>
      <c r="T341" s="630"/>
      <c r="U341" s="630"/>
      <c r="V341" s="630"/>
      <c r="W341" s="631"/>
      <c r="X341" s="344"/>
      <c r="Y341" s="332"/>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row>
    <row r="342" spans="1:77" ht="15.75" customHeight="1" x14ac:dyDescent="0.55000000000000004">
      <c r="A342" s="45"/>
      <c r="B342" s="45"/>
      <c r="C342" s="375"/>
      <c r="D342" s="375"/>
      <c r="E342" s="375"/>
      <c r="F342" s="375"/>
      <c r="G342" s="375"/>
      <c r="H342" s="375"/>
      <c r="I342" s="375"/>
      <c r="J342" s="375"/>
      <c r="K342" s="375"/>
      <c r="L342" s="375"/>
      <c r="M342" s="375"/>
      <c r="N342" s="375"/>
      <c r="O342" s="376"/>
      <c r="P342" s="66"/>
      <c r="W342" s="115"/>
      <c r="X342" s="66"/>
      <c r="Y342" s="115"/>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row>
    <row r="343" spans="1:77" ht="15.75" customHeight="1" x14ac:dyDescent="0.55000000000000004">
      <c r="A343" s="45"/>
      <c r="B343" s="45"/>
      <c r="C343" s="375"/>
      <c r="D343" s="375"/>
      <c r="E343" s="375"/>
      <c r="F343" s="375"/>
      <c r="G343" s="375"/>
      <c r="H343" s="375"/>
      <c r="I343" s="375"/>
      <c r="J343" s="375"/>
      <c r="K343" s="375"/>
      <c r="L343" s="375"/>
      <c r="M343" s="375"/>
      <c r="N343" s="375"/>
      <c r="O343" s="376"/>
      <c r="P343" s="100" t="s">
        <v>282</v>
      </c>
      <c r="Q343" s="345" t="s">
        <v>274</v>
      </c>
      <c r="R343" s="345"/>
      <c r="S343" s="345"/>
      <c r="T343" s="345"/>
      <c r="U343" s="345"/>
      <c r="V343" s="345"/>
      <c r="W343" s="346"/>
      <c r="X343" s="333">
        <v>0</v>
      </c>
      <c r="Y343" s="334"/>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row>
    <row r="344" spans="1:77" ht="15.3" x14ac:dyDescent="0.55000000000000004">
      <c r="A344" s="503"/>
      <c r="B344" s="504"/>
      <c r="C344" s="504"/>
      <c r="D344" s="504"/>
      <c r="E344" s="504"/>
      <c r="F344" s="504"/>
      <c r="G344" s="504"/>
      <c r="H344" s="504"/>
      <c r="I344" s="504"/>
      <c r="J344" s="504"/>
      <c r="K344" s="504"/>
      <c r="L344" s="504"/>
      <c r="M344" s="504"/>
      <c r="N344" s="504"/>
      <c r="O344" s="504"/>
      <c r="P344" s="616"/>
      <c r="Q344" s="616"/>
      <c r="R344" s="616"/>
      <c r="S344" s="616"/>
      <c r="T344" s="616"/>
      <c r="U344" s="616"/>
      <c r="V344" s="616"/>
      <c r="W344" s="616"/>
      <c r="X344" s="504"/>
      <c r="Y344" s="505"/>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row>
    <row r="345" spans="1:77" ht="17.399999999999999" x14ac:dyDescent="0.55000000000000004">
      <c r="A345" s="367" t="s">
        <v>122</v>
      </c>
      <c r="B345" s="368"/>
      <c r="C345" s="368"/>
      <c r="D345" s="368"/>
      <c r="E345" s="368"/>
      <c r="F345" s="368"/>
      <c r="G345" s="368"/>
      <c r="H345" s="368"/>
      <c r="I345" s="368"/>
      <c r="J345" s="368"/>
      <c r="K345" s="368"/>
      <c r="L345" s="368"/>
      <c r="M345" s="368"/>
      <c r="N345" s="368"/>
      <c r="O345" s="368"/>
      <c r="P345" s="169"/>
      <c r="Q345" s="169"/>
      <c r="R345" s="169"/>
      <c r="S345" s="169"/>
      <c r="T345" s="169"/>
      <c r="U345" s="169"/>
      <c r="V345" s="169"/>
      <c r="W345" s="169"/>
      <c r="X345" s="169"/>
      <c r="Y345" s="170"/>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row>
    <row r="346" spans="1:77" ht="42.75" customHeight="1" x14ac:dyDescent="0.55000000000000004">
      <c r="A346" s="46"/>
      <c r="B346" s="377" t="s">
        <v>452</v>
      </c>
      <c r="C346" s="378"/>
      <c r="D346" s="378"/>
      <c r="E346" s="378"/>
      <c r="F346" s="378"/>
      <c r="G346" s="378"/>
      <c r="H346" s="378"/>
      <c r="I346" s="378"/>
      <c r="J346" s="378"/>
      <c r="K346" s="378"/>
      <c r="L346" s="378"/>
      <c r="M346" s="378"/>
      <c r="N346" s="378"/>
      <c r="O346" s="379"/>
      <c r="P346" s="350" t="s">
        <v>50</v>
      </c>
      <c r="Q346" s="351"/>
      <c r="R346" s="351"/>
      <c r="S346" s="351"/>
      <c r="T346" s="351"/>
      <c r="U346" s="351"/>
      <c r="V346" s="351"/>
      <c r="W346" s="351"/>
      <c r="X346" s="352" t="s">
        <v>49</v>
      </c>
      <c r="Y346" s="353"/>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row>
    <row r="347" spans="1:77" ht="15.75" customHeight="1" x14ac:dyDescent="0.55000000000000004">
      <c r="A347" s="46"/>
      <c r="B347" s="46" t="s">
        <v>75</v>
      </c>
      <c r="C347" s="375" t="s">
        <v>454</v>
      </c>
      <c r="D347" s="375"/>
      <c r="E347" s="375"/>
      <c r="F347" s="375"/>
      <c r="G347" s="375"/>
      <c r="H347" s="375"/>
      <c r="I347" s="375"/>
      <c r="J347" s="375"/>
      <c r="K347" s="375"/>
      <c r="L347" s="375"/>
      <c r="M347" s="375"/>
      <c r="N347" s="375"/>
      <c r="O347" s="376"/>
      <c r="P347" s="120" t="s">
        <v>280</v>
      </c>
      <c r="Q347" s="132" t="s">
        <v>273</v>
      </c>
      <c r="R347" s="132"/>
      <c r="S347" s="132"/>
      <c r="T347" s="132"/>
      <c r="U347" s="132"/>
      <c r="V347" s="132"/>
      <c r="W347" s="133"/>
      <c r="X347" s="343">
        <v>1</v>
      </c>
      <c r="Y347" s="330"/>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row>
    <row r="348" spans="1:77" ht="15.75" customHeight="1" x14ac:dyDescent="0.55000000000000004">
      <c r="A348" s="46"/>
      <c r="B348" s="46"/>
      <c r="C348" s="375"/>
      <c r="D348" s="375"/>
      <c r="E348" s="375"/>
      <c r="F348" s="375"/>
      <c r="G348" s="375"/>
      <c r="H348" s="375"/>
      <c r="I348" s="375"/>
      <c r="J348" s="375"/>
      <c r="K348" s="375"/>
      <c r="L348" s="375"/>
      <c r="M348" s="375"/>
      <c r="N348" s="375"/>
      <c r="O348" s="376"/>
      <c r="P348" s="156"/>
      <c r="Q348" s="70"/>
      <c r="R348" s="157"/>
      <c r="S348" s="158"/>
      <c r="T348" s="158"/>
      <c r="U348" s="2"/>
      <c r="V348" s="2"/>
      <c r="W348" s="161"/>
      <c r="X348" s="160"/>
      <c r="Y348" s="16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row>
    <row r="349" spans="1:77" ht="15.75" customHeight="1" x14ac:dyDescent="0.55000000000000004">
      <c r="A349" s="46"/>
      <c r="B349" s="46"/>
      <c r="C349" s="375"/>
      <c r="D349" s="375"/>
      <c r="E349" s="375"/>
      <c r="F349" s="375"/>
      <c r="G349" s="375"/>
      <c r="H349" s="375"/>
      <c r="I349" s="375"/>
      <c r="J349" s="375"/>
      <c r="K349" s="375"/>
      <c r="L349" s="375"/>
      <c r="M349" s="375"/>
      <c r="N349" s="375"/>
      <c r="O349" s="376"/>
      <c r="P349" s="66"/>
      <c r="W349" s="115"/>
      <c r="X349" s="66"/>
      <c r="Y349" s="115"/>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row>
    <row r="350" spans="1:77" ht="15.75" customHeight="1" x14ac:dyDescent="0.55000000000000004">
      <c r="A350" s="46"/>
      <c r="B350" s="171" t="s">
        <v>13</v>
      </c>
      <c r="C350" s="375" t="s">
        <v>455</v>
      </c>
      <c r="D350" s="375"/>
      <c r="E350" s="375"/>
      <c r="F350" s="375"/>
      <c r="G350" s="375"/>
      <c r="H350" s="375"/>
      <c r="I350" s="375"/>
      <c r="J350" s="375"/>
      <c r="K350" s="375"/>
      <c r="L350" s="375"/>
      <c r="M350" s="375"/>
      <c r="N350" s="375"/>
      <c r="O350" s="376"/>
      <c r="P350" s="156"/>
      <c r="Q350" s="70"/>
      <c r="R350" s="157"/>
      <c r="S350" s="158"/>
      <c r="T350" s="158"/>
      <c r="U350" s="2"/>
      <c r="V350" s="2"/>
      <c r="W350" s="161"/>
      <c r="X350" s="160"/>
      <c r="Y350" s="16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row>
    <row r="351" spans="1:77" ht="15.75" customHeight="1" x14ac:dyDescent="0.55000000000000004">
      <c r="A351" s="46"/>
      <c r="B351" s="46"/>
      <c r="C351" s="375"/>
      <c r="D351" s="375"/>
      <c r="E351" s="375"/>
      <c r="F351" s="375"/>
      <c r="G351" s="375"/>
      <c r="H351" s="375"/>
      <c r="I351" s="375"/>
      <c r="J351" s="375"/>
      <c r="K351" s="375"/>
      <c r="L351" s="375"/>
      <c r="M351" s="375"/>
      <c r="N351" s="375"/>
      <c r="O351" s="376"/>
      <c r="P351" s="66"/>
      <c r="W351" s="115"/>
      <c r="X351" s="66"/>
      <c r="Y351" s="115"/>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row>
    <row r="352" spans="1:77" ht="15.75" customHeight="1" x14ac:dyDescent="0.55000000000000004">
      <c r="A352" s="46"/>
      <c r="B352" s="171" t="s">
        <v>13</v>
      </c>
      <c r="C352" s="375" t="s">
        <v>456</v>
      </c>
      <c r="D352" s="375"/>
      <c r="E352" s="375"/>
      <c r="F352" s="375"/>
      <c r="G352" s="375"/>
      <c r="H352" s="375"/>
      <c r="I352" s="375"/>
      <c r="J352" s="375"/>
      <c r="K352" s="375"/>
      <c r="L352" s="375"/>
      <c r="M352" s="375"/>
      <c r="N352" s="375"/>
      <c r="O352" s="376"/>
      <c r="P352" s="117" t="s">
        <v>281</v>
      </c>
      <c r="Q352" s="372" t="s">
        <v>462</v>
      </c>
      <c r="R352" s="372"/>
      <c r="S352" s="372"/>
      <c r="T352" s="372"/>
      <c r="U352" s="372"/>
      <c r="V352" s="372"/>
      <c r="W352" s="373"/>
      <c r="X352" s="344">
        <v>0.5</v>
      </c>
      <c r="Y352" s="332"/>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row>
    <row r="353" spans="1:77" ht="15.75" customHeight="1" x14ac:dyDescent="0.55000000000000004">
      <c r="A353" s="46"/>
      <c r="B353" s="45"/>
      <c r="C353" s="375"/>
      <c r="D353" s="375"/>
      <c r="E353" s="375"/>
      <c r="F353" s="375"/>
      <c r="G353" s="375"/>
      <c r="H353" s="375"/>
      <c r="I353" s="375"/>
      <c r="J353" s="375"/>
      <c r="K353" s="375"/>
      <c r="L353" s="375"/>
      <c r="M353" s="375"/>
      <c r="N353" s="375"/>
      <c r="O353" s="376"/>
      <c r="P353" s="66"/>
      <c r="W353" s="115"/>
      <c r="X353" s="66"/>
      <c r="Y353" s="115"/>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row>
    <row r="354" spans="1:77" ht="15.75" customHeight="1" x14ac:dyDescent="0.55000000000000004">
      <c r="A354" s="46"/>
      <c r="B354" s="45"/>
      <c r="C354" s="375"/>
      <c r="D354" s="375"/>
      <c r="E354" s="375"/>
      <c r="F354" s="375"/>
      <c r="G354" s="375"/>
      <c r="H354" s="375"/>
      <c r="I354" s="375"/>
      <c r="J354" s="375"/>
      <c r="K354" s="375"/>
      <c r="L354" s="375"/>
      <c r="M354" s="375"/>
      <c r="N354" s="375"/>
      <c r="O354" s="376"/>
      <c r="P354" s="156"/>
      <c r="Q354" s="70"/>
      <c r="R354" s="157"/>
      <c r="S354" s="158"/>
      <c r="T354" s="158"/>
      <c r="U354" s="2"/>
      <c r="V354" s="2"/>
      <c r="W354" s="161"/>
      <c r="X354" s="160"/>
      <c r="Y354" s="16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row>
    <row r="355" spans="1:77" ht="15.75" customHeight="1" x14ac:dyDescent="0.55000000000000004">
      <c r="A355" s="46"/>
      <c r="B355" s="171" t="s">
        <v>72</v>
      </c>
      <c r="C355" s="375" t="s">
        <v>457</v>
      </c>
      <c r="D355" s="375"/>
      <c r="E355" s="375"/>
      <c r="F355" s="375"/>
      <c r="G355" s="375"/>
      <c r="H355" s="375"/>
      <c r="I355" s="375"/>
      <c r="J355" s="375"/>
      <c r="K355" s="375"/>
      <c r="L355" s="375"/>
      <c r="M355" s="375"/>
      <c r="N355" s="375"/>
      <c r="O355" s="376"/>
      <c r="P355" s="66"/>
      <c r="W355" s="115"/>
      <c r="X355" s="66"/>
      <c r="Y355" s="115"/>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row>
    <row r="356" spans="1:77" ht="15.75" customHeight="1" x14ac:dyDescent="0.55000000000000004">
      <c r="A356" s="46"/>
      <c r="B356" s="46"/>
      <c r="C356" s="375"/>
      <c r="D356" s="375"/>
      <c r="E356" s="375"/>
      <c r="F356" s="375"/>
      <c r="G356" s="375"/>
      <c r="H356" s="375"/>
      <c r="I356" s="375"/>
      <c r="J356" s="375"/>
      <c r="K356" s="375"/>
      <c r="L356" s="375"/>
      <c r="M356" s="375"/>
      <c r="N356" s="375"/>
      <c r="O356" s="376"/>
      <c r="P356" s="344" t="s">
        <v>282</v>
      </c>
      <c r="Q356" s="370" t="s">
        <v>463</v>
      </c>
      <c r="R356" s="370"/>
      <c r="S356" s="370"/>
      <c r="T356" s="370"/>
      <c r="U356" s="370"/>
      <c r="V356" s="370"/>
      <c r="W356" s="371"/>
      <c r="X356" s="344">
        <v>0</v>
      </c>
      <c r="Y356" s="332"/>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row>
    <row r="357" spans="1:77" ht="15.75" customHeight="1" x14ac:dyDescent="0.55000000000000004">
      <c r="A357" s="46"/>
      <c r="B357" s="46"/>
      <c r="C357" s="375"/>
      <c r="D357" s="375"/>
      <c r="E357" s="375"/>
      <c r="F357" s="375"/>
      <c r="G357" s="375"/>
      <c r="H357" s="375"/>
      <c r="I357" s="375"/>
      <c r="J357" s="375"/>
      <c r="K357" s="375"/>
      <c r="L357" s="375"/>
      <c r="M357" s="375"/>
      <c r="N357" s="375"/>
      <c r="O357" s="376"/>
      <c r="P357" s="344"/>
      <c r="Q357" s="370"/>
      <c r="R357" s="370"/>
      <c r="S357" s="370"/>
      <c r="T357" s="370"/>
      <c r="U357" s="370"/>
      <c r="V357" s="370"/>
      <c r="W357" s="371"/>
      <c r="X357" s="344"/>
      <c r="Y357" s="332"/>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row>
    <row r="358" spans="1:77" ht="15.75" customHeight="1" x14ac:dyDescent="0.55000000000000004">
      <c r="A358" s="46"/>
      <c r="B358" s="49" t="s">
        <v>13</v>
      </c>
      <c r="C358" s="632" t="s">
        <v>617</v>
      </c>
      <c r="D358" s="632"/>
      <c r="E358" s="632"/>
      <c r="F358" s="632"/>
      <c r="G358" s="632"/>
      <c r="H358" s="632"/>
      <c r="I358" s="632"/>
      <c r="J358" s="632"/>
      <c r="K358" s="632"/>
      <c r="L358" s="632"/>
      <c r="M358" s="632"/>
      <c r="N358" s="632"/>
      <c r="O358" s="633"/>
      <c r="P358" s="66"/>
      <c r="W358" s="115"/>
      <c r="X358" s="66"/>
      <c r="Y358" s="115"/>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row>
    <row r="359" spans="1:77" ht="15.75" customHeight="1" x14ac:dyDescent="0.55000000000000004">
      <c r="A359" s="46"/>
      <c r="B359" s="49"/>
      <c r="C359" s="632"/>
      <c r="D359" s="632"/>
      <c r="E359" s="632"/>
      <c r="F359" s="632"/>
      <c r="G359" s="632"/>
      <c r="H359" s="632"/>
      <c r="I359" s="632"/>
      <c r="J359" s="632"/>
      <c r="K359" s="632"/>
      <c r="L359" s="632"/>
      <c r="M359" s="632"/>
      <c r="N359" s="632"/>
      <c r="O359" s="633"/>
      <c r="P359" s="66"/>
      <c r="W359" s="115"/>
      <c r="X359" s="66"/>
      <c r="Y359" s="115"/>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row>
    <row r="360" spans="1:77" ht="15.75" customHeight="1" x14ac:dyDescent="0.55000000000000004">
      <c r="A360" s="46"/>
      <c r="B360" s="49"/>
      <c r="C360" s="632"/>
      <c r="D360" s="632"/>
      <c r="E360" s="632"/>
      <c r="F360" s="632"/>
      <c r="G360" s="632"/>
      <c r="H360" s="632"/>
      <c r="I360" s="632"/>
      <c r="J360" s="632"/>
      <c r="K360" s="632"/>
      <c r="L360" s="632"/>
      <c r="M360" s="632"/>
      <c r="N360" s="632"/>
      <c r="O360" s="633"/>
      <c r="P360" s="156"/>
      <c r="Q360" s="70"/>
      <c r="R360" s="157"/>
      <c r="S360" s="158"/>
      <c r="T360" s="158"/>
      <c r="U360" s="2"/>
      <c r="V360" s="2"/>
      <c r="W360" s="161"/>
      <c r="X360" s="160"/>
      <c r="Y360" s="16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row>
    <row r="361" spans="1:77" ht="15.75" customHeight="1" x14ac:dyDescent="0.55000000000000004">
      <c r="A361" s="46"/>
      <c r="B361" s="49"/>
      <c r="C361" s="632"/>
      <c r="D361" s="632"/>
      <c r="E361" s="632"/>
      <c r="F361" s="632"/>
      <c r="G361" s="632"/>
      <c r="H361" s="632"/>
      <c r="I361" s="632"/>
      <c r="J361" s="632"/>
      <c r="K361" s="632"/>
      <c r="L361" s="632"/>
      <c r="M361" s="632"/>
      <c r="N361" s="632"/>
      <c r="O361" s="633"/>
      <c r="P361" s="66"/>
      <c r="W361" s="115"/>
      <c r="X361" s="66"/>
      <c r="Y361" s="115"/>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row>
    <row r="362" spans="1:77" ht="15.75" customHeight="1" x14ac:dyDescent="0.55000000000000004">
      <c r="A362" s="46"/>
      <c r="B362" s="49" t="s">
        <v>13</v>
      </c>
      <c r="C362" s="375" t="s">
        <v>458</v>
      </c>
      <c r="D362" s="375"/>
      <c r="E362" s="375"/>
      <c r="F362" s="375"/>
      <c r="G362" s="375"/>
      <c r="H362" s="375"/>
      <c r="I362" s="375"/>
      <c r="J362" s="375"/>
      <c r="K362" s="375"/>
      <c r="L362" s="375"/>
      <c r="M362" s="375"/>
      <c r="N362" s="375"/>
      <c r="O362" s="376"/>
      <c r="P362" s="113" t="s">
        <v>282</v>
      </c>
      <c r="Q362" s="370" t="s">
        <v>464</v>
      </c>
      <c r="R362" s="370"/>
      <c r="S362" s="370"/>
      <c r="T362" s="370"/>
      <c r="U362" s="370"/>
      <c r="V362" s="370"/>
      <c r="W362" s="371"/>
      <c r="X362" s="344">
        <v>0</v>
      </c>
      <c r="Y362" s="332"/>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row>
    <row r="363" spans="1:77" ht="15.75" customHeight="1" x14ac:dyDescent="0.55000000000000004">
      <c r="A363" s="46"/>
      <c r="B363" s="49"/>
      <c r="C363" s="375"/>
      <c r="D363" s="375"/>
      <c r="E363" s="375"/>
      <c r="F363" s="375"/>
      <c r="G363" s="375"/>
      <c r="H363" s="375"/>
      <c r="I363" s="375"/>
      <c r="J363" s="375"/>
      <c r="K363" s="375"/>
      <c r="L363" s="375"/>
      <c r="M363" s="375"/>
      <c r="N363" s="375"/>
      <c r="O363" s="376"/>
      <c r="P363" s="66"/>
      <c r="W363" s="115"/>
      <c r="X363" s="66"/>
      <c r="Y363" s="115"/>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row>
    <row r="364" spans="1:77" ht="15.75" customHeight="1" x14ac:dyDescent="0.55000000000000004">
      <c r="A364" s="46"/>
      <c r="B364" s="49"/>
      <c r="C364" s="375"/>
      <c r="D364" s="375"/>
      <c r="E364" s="375"/>
      <c r="F364" s="375"/>
      <c r="G364" s="375"/>
      <c r="H364" s="375"/>
      <c r="I364" s="375"/>
      <c r="J364" s="375"/>
      <c r="K364" s="375"/>
      <c r="L364" s="375"/>
      <c r="M364" s="375"/>
      <c r="N364" s="375"/>
      <c r="O364" s="376"/>
      <c r="P364" s="156"/>
      <c r="Q364" s="70"/>
      <c r="R364" s="157"/>
      <c r="S364" s="158"/>
      <c r="T364" s="158"/>
      <c r="U364" s="2"/>
      <c r="V364" s="2"/>
      <c r="W364" s="161"/>
      <c r="X364" s="160"/>
      <c r="Y364" s="16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row>
    <row r="365" spans="1:77" ht="15.75" customHeight="1" x14ac:dyDescent="0.55000000000000004">
      <c r="A365" s="46"/>
      <c r="B365" s="49"/>
      <c r="C365" s="375" t="s">
        <v>459</v>
      </c>
      <c r="D365" s="375"/>
      <c r="E365" s="375"/>
      <c r="F365" s="375"/>
      <c r="G365" s="375"/>
      <c r="H365" s="375"/>
      <c r="I365" s="375"/>
      <c r="J365" s="375"/>
      <c r="K365" s="375"/>
      <c r="L365" s="375"/>
      <c r="M365" s="375"/>
      <c r="N365" s="375"/>
      <c r="O365" s="376"/>
      <c r="P365" s="156"/>
      <c r="Q365" s="70"/>
      <c r="R365" s="157"/>
      <c r="S365" s="158"/>
      <c r="T365" s="158"/>
      <c r="U365" s="2"/>
      <c r="V365" s="2"/>
      <c r="W365" s="161"/>
      <c r="X365" s="160"/>
      <c r="Y365" s="16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row>
    <row r="366" spans="1:77" ht="15.75" customHeight="1" x14ac:dyDescent="0.55000000000000004">
      <c r="A366" s="46"/>
      <c r="B366" s="49" t="s">
        <v>72</v>
      </c>
      <c r="C366" s="375"/>
      <c r="D366" s="375"/>
      <c r="E366" s="375"/>
      <c r="F366" s="375"/>
      <c r="G366" s="375"/>
      <c r="H366" s="375"/>
      <c r="I366" s="375"/>
      <c r="J366" s="375"/>
      <c r="K366" s="375"/>
      <c r="L366" s="375"/>
      <c r="M366" s="375"/>
      <c r="N366" s="375"/>
      <c r="O366" s="376"/>
      <c r="P366" s="113" t="s">
        <v>282</v>
      </c>
      <c r="Q366" s="370" t="s">
        <v>465</v>
      </c>
      <c r="R366" s="370"/>
      <c r="S366" s="370"/>
      <c r="T366" s="370"/>
      <c r="U366" s="370"/>
      <c r="V366" s="370"/>
      <c r="W366" s="371"/>
      <c r="X366" s="344">
        <v>0</v>
      </c>
      <c r="Y366" s="332"/>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row>
    <row r="367" spans="1:77" ht="15.75" customHeight="1" x14ac:dyDescent="0.55000000000000004">
      <c r="A367" s="46"/>
      <c r="B367" s="49"/>
      <c r="C367" s="375"/>
      <c r="D367" s="375"/>
      <c r="E367" s="375"/>
      <c r="F367" s="375"/>
      <c r="G367" s="375"/>
      <c r="H367" s="375"/>
      <c r="I367" s="375"/>
      <c r="J367" s="375"/>
      <c r="K367" s="375"/>
      <c r="L367" s="375"/>
      <c r="M367" s="375"/>
      <c r="N367" s="375"/>
      <c r="O367" s="376"/>
      <c r="P367" s="156"/>
      <c r="Q367" s="70"/>
      <c r="R367" s="157"/>
      <c r="S367" s="158"/>
      <c r="T367" s="158"/>
      <c r="U367" s="2"/>
      <c r="V367" s="2"/>
      <c r="W367" s="161"/>
      <c r="X367" s="160"/>
      <c r="Y367" s="16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row>
    <row r="368" spans="1:77" ht="15.75" customHeight="1" x14ac:dyDescent="0.55000000000000004">
      <c r="A368" s="46"/>
      <c r="B368" s="49"/>
      <c r="C368" s="375" t="s">
        <v>460</v>
      </c>
      <c r="D368" s="375"/>
      <c r="E368" s="375"/>
      <c r="F368" s="375"/>
      <c r="G368" s="375"/>
      <c r="H368" s="375"/>
      <c r="I368" s="375"/>
      <c r="J368" s="375"/>
      <c r="K368" s="375"/>
      <c r="L368" s="375"/>
      <c r="M368" s="375"/>
      <c r="N368" s="375"/>
      <c r="O368" s="376"/>
      <c r="P368" s="66"/>
      <c r="W368" s="115"/>
      <c r="X368" s="66"/>
      <c r="Y368" s="115"/>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row>
    <row r="369" spans="1:77" ht="15.75" customHeight="1" x14ac:dyDescent="0.55000000000000004">
      <c r="A369" s="46"/>
      <c r="B369" s="49" t="s">
        <v>72</v>
      </c>
      <c r="C369" s="375"/>
      <c r="D369" s="375"/>
      <c r="E369" s="375"/>
      <c r="F369" s="375"/>
      <c r="G369" s="375"/>
      <c r="H369" s="375"/>
      <c r="I369" s="375"/>
      <c r="J369" s="375"/>
      <c r="K369" s="375"/>
      <c r="L369" s="375"/>
      <c r="M369" s="375"/>
      <c r="N369" s="375"/>
      <c r="O369" s="376"/>
      <c r="P369" s="156"/>
      <c r="Q369" s="70"/>
      <c r="R369" s="157"/>
      <c r="S369" s="158"/>
      <c r="T369" s="158"/>
      <c r="U369" s="2"/>
      <c r="V369" s="2"/>
      <c r="W369" s="161"/>
      <c r="X369" s="160"/>
      <c r="Y369" s="16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row>
    <row r="370" spans="1:77" ht="15.75" customHeight="1" x14ac:dyDescent="0.55000000000000004">
      <c r="A370" s="46"/>
      <c r="B370" s="49"/>
      <c r="C370" s="375"/>
      <c r="D370" s="375"/>
      <c r="E370" s="375"/>
      <c r="F370" s="375"/>
      <c r="G370" s="375"/>
      <c r="H370" s="375"/>
      <c r="I370" s="375"/>
      <c r="J370" s="375"/>
      <c r="K370" s="375"/>
      <c r="L370" s="375"/>
      <c r="M370" s="375"/>
      <c r="N370" s="375"/>
      <c r="O370" s="376"/>
      <c r="P370" s="113" t="s">
        <v>282</v>
      </c>
      <c r="Q370" s="370" t="s">
        <v>466</v>
      </c>
      <c r="R370" s="370"/>
      <c r="S370" s="370"/>
      <c r="T370" s="370"/>
      <c r="U370" s="370"/>
      <c r="V370" s="370"/>
      <c r="W370" s="371"/>
      <c r="X370" s="344">
        <v>0</v>
      </c>
      <c r="Y370" s="332"/>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row>
    <row r="371" spans="1:77" ht="15.75" customHeight="1" x14ac:dyDescent="0.55000000000000004">
      <c r="A371" s="46"/>
      <c r="B371" s="49" t="s">
        <v>72</v>
      </c>
      <c r="C371" s="375" t="s">
        <v>461</v>
      </c>
      <c r="D371" s="375"/>
      <c r="E371" s="375"/>
      <c r="F371" s="375"/>
      <c r="G371" s="375"/>
      <c r="H371" s="375"/>
      <c r="I371" s="375"/>
      <c r="J371" s="375"/>
      <c r="K371" s="375"/>
      <c r="L371" s="375"/>
      <c r="M371" s="375"/>
      <c r="N371" s="375"/>
      <c r="O371" s="376"/>
      <c r="P371" s="156"/>
      <c r="Q371" s="70"/>
      <c r="R371" s="157"/>
      <c r="S371" s="158"/>
      <c r="T371" s="158"/>
      <c r="U371" s="2"/>
      <c r="V371" s="2"/>
      <c r="W371" s="161"/>
      <c r="X371" s="160"/>
      <c r="Y371" s="16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row>
    <row r="372" spans="1:77" ht="15.75" customHeight="1" x14ac:dyDescent="0.55000000000000004">
      <c r="A372" s="46"/>
      <c r="B372" s="49"/>
      <c r="C372" s="375"/>
      <c r="D372" s="375"/>
      <c r="E372" s="375"/>
      <c r="F372" s="375"/>
      <c r="G372" s="375"/>
      <c r="H372" s="375"/>
      <c r="I372" s="375"/>
      <c r="J372" s="375"/>
      <c r="K372" s="375"/>
      <c r="L372" s="375"/>
      <c r="M372" s="375"/>
      <c r="N372" s="375"/>
      <c r="O372" s="376"/>
      <c r="P372" s="66"/>
      <c r="W372" s="115"/>
      <c r="X372" s="66"/>
      <c r="Y372" s="115"/>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row>
    <row r="373" spans="1:77" ht="15.75" customHeight="1" x14ac:dyDescent="0.55000000000000004">
      <c r="A373" s="46"/>
      <c r="B373" s="49"/>
      <c r="C373" s="375"/>
      <c r="D373" s="375"/>
      <c r="E373" s="375"/>
      <c r="F373" s="375"/>
      <c r="G373" s="375"/>
      <c r="H373" s="375"/>
      <c r="I373" s="375"/>
      <c r="J373" s="375"/>
      <c r="K373" s="375"/>
      <c r="L373" s="375"/>
      <c r="M373" s="375"/>
      <c r="N373" s="375"/>
      <c r="O373" s="376"/>
      <c r="P373" s="100" t="s">
        <v>282</v>
      </c>
      <c r="Q373" s="345" t="s">
        <v>274</v>
      </c>
      <c r="R373" s="345"/>
      <c r="S373" s="345"/>
      <c r="T373" s="345"/>
      <c r="U373" s="345"/>
      <c r="V373" s="345"/>
      <c r="W373" s="346"/>
      <c r="X373" s="333">
        <v>0</v>
      </c>
      <c r="Y373" s="334"/>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row>
    <row r="374" spans="1:77" ht="17.399999999999999" x14ac:dyDescent="0.55000000000000004">
      <c r="A374" s="46"/>
      <c r="B374" s="347" t="s">
        <v>467</v>
      </c>
      <c r="C374" s="348"/>
      <c r="D374" s="348"/>
      <c r="E374" s="348"/>
      <c r="F374" s="348"/>
      <c r="G374" s="348"/>
      <c r="H374" s="348"/>
      <c r="I374" s="348"/>
      <c r="J374" s="348"/>
      <c r="K374" s="348"/>
      <c r="L374" s="348"/>
      <c r="M374" s="348"/>
      <c r="N374" s="348"/>
      <c r="O374" s="349"/>
      <c r="P374" s="350" t="s">
        <v>50</v>
      </c>
      <c r="Q374" s="351"/>
      <c r="R374" s="351"/>
      <c r="S374" s="351"/>
      <c r="T374" s="351"/>
      <c r="U374" s="351"/>
      <c r="V374" s="351"/>
      <c r="W374" s="351"/>
      <c r="X374" s="352" t="s">
        <v>49</v>
      </c>
      <c r="Y374" s="353"/>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row>
    <row r="375" spans="1:77" ht="15.75" customHeight="1" x14ac:dyDescent="0.55000000000000004">
      <c r="A375" s="46"/>
      <c r="B375" s="50"/>
      <c r="C375" s="355" t="s">
        <v>468</v>
      </c>
      <c r="D375" s="355"/>
      <c r="E375" s="355"/>
      <c r="F375" s="355"/>
      <c r="G375" s="355"/>
      <c r="H375" s="355"/>
      <c r="I375" s="355"/>
      <c r="J375" s="355"/>
      <c r="K375" s="355"/>
      <c r="L375" s="355"/>
      <c r="M375" s="355"/>
      <c r="N375" s="355"/>
      <c r="O375" s="355"/>
      <c r="P375" s="120" t="s">
        <v>280</v>
      </c>
      <c r="Q375" s="132" t="s">
        <v>273</v>
      </c>
      <c r="R375" s="132"/>
      <c r="S375" s="132"/>
      <c r="T375" s="132"/>
      <c r="U375" s="132"/>
      <c r="V375" s="132"/>
      <c r="W375" s="133"/>
      <c r="X375" s="343">
        <v>1</v>
      </c>
      <c r="Y375" s="330"/>
      <c r="Z375" s="1"/>
      <c r="AA375" s="1"/>
      <c r="AB375" s="1"/>
      <c r="AC375" s="164"/>
      <c r="AD375" s="164"/>
      <c r="AE375" s="164"/>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row>
    <row r="376" spans="1:77" ht="15.75" customHeight="1" x14ac:dyDescent="0.55000000000000004">
      <c r="A376" s="46"/>
      <c r="B376" s="50"/>
      <c r="C376" s="374"/>
      <c r="D376" s="374"/>
      <c r="E376" s="374"/>
      <c r="F376" s="374"/>
      <c r="G376" s="374"/>
      <c r="H376" s="374"/>
      <c r="I376" s="374"/>
      <c r="J376" s="374"/>
      <c r="K376" s="374"/>
      <c r="L376" s="374"/>
      <c r="M376" s="374"/>
      <c r="N376" s="374"/>
      <c r="O376" s="374"/>
      <c r="P376" s="156"/>
      <c r="Q376" s="70"/>
      <c r="R376" s="157"/>
      <c r="S376" s="158"/>
      <c r="T376" s="158"/>
      <c r="U376" s="123"/>
      <c r="V376" s="123"/>
      <c r="W376" s="124"/>
      <c r="X376" s="159"/>
      <c r="Y376" s="124"/>
      <c r="Z376" s="1"/>
      <c r="AA376" s="1"/>
      <c r="AB376" s="1"/>
      <c r="AC376" s="164"/>
      <c r="AD376" s="164"/>
      <c r="AE376" s="164"/>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row>
    <row r="377" spans="1:77" ht="15.75" customHeight="1" x14ac:dyDescent="0.55000000000000004">
      <c r="A377" s="46"/>
      <c r="B377" s="50"/>
      <c r="C377" s="374"/>
      <c r="D377" s="374"/>
      <c r="E377" s="374"/>
      <c r="F377" s="374"/>
      <c r="G377" s="374"/>
      <c r="H377" s="374"/>
      <c r="I377" s="374"/>
      <c r="J377" s="374"/>
      <c r="K377" s="374"/>
      <c r="L377" s="374"/>
      <c r="M377" s="374"/>
      <c r="N377" s="374"/>
      <c r="O377" s="374"/>
      <c r="P377" s="66"/>
      <c r="W377" s="115"/>
      <c r="X377" s="66"/>
      <c r="Y377" s="115"/>
      <c r="Z377" s="1"/>
      <c r="AA377" s="1"/>
      <c r="AB377" s="1"/>
      <c r="AC377" s="164"/>
      <c r="AD377" s="164"/>
      <c r="AE377" s="164"/>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row>
    <row r="378" spans="1:77" ht="15.75" customHeight="1" x14ac:dyDescent="0.55000000000000004">
      <c r="A378" s="46"/>
      <c r="B378" s="50"/>
      <c r="C378" s="357"/>
      <c r="D378" s="357"/>
      <c r="E378" s="357"/>
      <c r="F378" s="357"/>
      <c r="G378" s="357"/>
      <c r="H378" s="357"/>
      <c r="I378" s="357"/>
      <c r="J378" s="357"/>
      <c r="K378" s="357"/>
      <c r="L378" s="357"/>
      <c r="M378" s="357"/>
      <c r="N378" s="357"/>
      <c r="O378" s="357"/>
      <c r="P378" s="117"/>
      <c r="Q378" s="7"/>
      <c r="R378" s="7"/>
      <c r="S378" s="7"/>
      <c r="T378" s="7"/>
      <c r="U378" s="7"/>
      <c r="V378" s="7"/>
      <c r="W378" s="121"/>
      <c r="X378" s="117"/>
      <c r="Y378" s="118"/>
      <c r="Z378" s="1"/>
      <c r="AA378" s="1"/>
      <c r="AB378" s="1"/>
      <c r="AC378" s="164"/>
      <c r="AD378" s="164"/>
      <c r="AE378" s="164"/>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row>
    <row r="379" spans="1:77" ht="15.75" customHeight="1" x14ac:dyDescent="0.55000000000000004">
      <c r="A379" s="46"/>
      <c r="B379" s="50"/>
      <c r="C379" s="355" t="s">
        <v>469</v>
      </c>
      <c r="D379" s="355"/>
      <c r="E379" s="355"/>
      <c r="F379" s="355"/>
      <c r="G379" s="355"/>
      <c r="H379" s="355"/>
      <c r="I379" s="355"/>
      <c r="J379" s="355"/>
      <c r="K379" s="355"/>
      <c r="L379" s="355"/>
      <c r="M379" s="355"/>
      <c r="N379" s="355"/>
      <c r="O379" s="355"/>
      <c r="P379" s="344" t="s">
        <v>281</v>
      </c>
      <c r="Q379" s="358" t="s">
        <v>292</v>
      </c>
      <c r="R379" s="358"/>
      <c r="S379" s="358"/>
      <c r="T379" s="358"/>
      <c r="U379" s="358"/>
      <c r="V379" s="358"/>
      <c r="W379" s="359"/>
      <c r="X379" s="344">
        <v>0.5</v>
      </c>
      <c r="Y379" s="332"/>
      <c r="Z379" s="1"/>
      <c r="AA379" s="1"/>
      <c r="AB379" s="1"/>
      <c r="AC379" s="164"/>
      <c r="AD379" s="164"/>
      <c r="AE379" s="164"/>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row>
    <row r="380" spans="1:77" ht="15.75" customHeight="1" x14ac:dyDescent="0.55000000000000004">
      <c r="A380" s="46"/>
      <c r="B380" s="50"/>
      <c r="C380" s="374"/>
      <c r="D380" s="374"/>
      <c r="E380" s="374"/>
      <c r="F380" s="374"/>
      <c r="G380" s="374"/>
      <c r="H380" s="374"/>
      <c r="I380" s="374"/>
      <c r="J380" s="374"/>
      <c r="K380" s="374"/>
      <c r="L380" s="374"/>
      <c r="M380" s="374"/>
      <c r="N380" s="374"/>
      <c r="O380" s="374"/>
      <c r="P380" s="344"/>
      <c r="Q380" s="358"/>
      <c r="R380" s="358"/>
      <c r="S380" s="358"/>
      <c r="T380" s="358"/>
      <c r="U380" s="358"/>
      <c r="V380" s="358"/>
      <c r="W380" s="359"/>
      <c r="X380" s="344"/>
      <c r="Y380" s="332"/>
      <c r="Z380" s="1"/>
      <c r="AA380" s="1"/>
      <c r="AB380" s="1"/>
      <c r="AC380" s="164"/>
      <c r="AD380" s="164"/>
      <c r="AE380" s="164"/>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row>
    <row r="381" spans="1:77" ht="15.75" customHeight="1" x14ac:dyDescent="0.55000000000000004">
      <c r="A381" s="46"/>
      <c r="B381" s="50"/>
      <c r="C381" s="374"/>
      <c r="D381" s="374"/>
      <c r="E381" s="374"/>
      <c r="F381" s="374"/>
      <c r="G381" s="374"/>
      <c r="H381" s="374"/>
      <c r="I381" s="374"/>
      <c r="J381" s="374"/>
      <c r="K381" s="374"/>
      <c r="L381" s="374"/>
      <c r="M381" s="374"/>
      <c r="N381" s="374"/>
      <c r="O381" s="374"/>
      <c r="P381" s="156"/>
      <c r="Q381" s="70"/>
      <c r="R381" s="157"/>
      <c r="S381" s="158"/>
      <c r="T381" s="158"/>
      <c r="U381" s="175"/>
      <c r="V381" s="175"/>
      <c r="W381" s="114"/>
      <c r="X381" s="113"/>
      <c r="Y381" s="114"/>
      <c r="Z381" s="1"/>
      <c r="AA381" s="1"/>
      <c r="AB381" s="1"/>
      <c r="AC381" s="164"/>
      <c r="AD381" s="164"/>
      <c r="AE381" s="164"/>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row>
    <row r="382" spans="1:77" ht="15.75" customHeight="1" x14ac:dyDescent="0.55000000000000004">
      <c r="A382" s="46"/>
      <c r="B382" s="50"/>
      <c r="C382" s="355" t="s">
        <v>470</v>
      </c>
      <c r="D382" s="355"/>
      <c r="E382" s="355"/>
      <c r="F382" s="355"/>
      <c r="G382" s="355"/>
      <c r="H382" s="355"/>
      <c r="I382" s="355"/>
      <c r="J382" s="355"/>
      <c r="K382" s="355"/>
      <c r="L382" s="355"/>
      <c r="M382" s="355"/>
      <c r="N382" s="355"/>
      <c r="O382" s="355"/>
      <c r="P382" s="156"/>
      <c r="Q382" s="70"/>
      <c r="R382" s="157"/>
      <c r="S382" s="158"/>
      <c r="T382" s="158"/>
      <c r="U382" s="175"/>
      <c r="V382" s="175"/>
      <c r="W382" s="114"/>
      <c r="X382" s="113"/>
      <c r="Y382" s="114"/>
      <c r="Z382" s="1"/>
      <c r="AA382" s="1"/>
      <c r="AB382" s="1"/>
      <c r="AC382" s="23"/>
      <c r="AD382" s="23"/>
      <c r="AE382" s="23"/>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row>
    <row r="383" spans="1:77" ht="15.75" customHeight="1" x14ac:dyDescent="0.55000000000000004">
      <c r="A383" s="46"/>
      <c r="B383" s="50"/>
      <c r="C383" s="374"/>
      <c r="D383" s="374"/>
      <c r="E383" s="374"/>
      <c r="F383" s="374"/>
      <c r="G383" s="374"/>
      <c r="H383" s="374"/>
      <c r="I383" s="374"/>
      <c r="J383" s="374"/>
      <c r="K383" s="374"/>
      <c r="L383" s="374"/>
      <c r="M383" s="374"/>
      <c r="N383" s="374"/>
      <c r="O383" s="374"/>
      <c r="P383" s="156"/>
      <c r="Q383" s="70"/>
      <c r="R383" s="157"/>
      <c r="S383" s="532"/>
      <c r="T383" s="532"/>
      <c r="U383" s="77"/>
      <c r="V383" s="77"/>
      <c r="W383" s="118"/>
      <c r="X383" s="117"/>
      <c r="Y383" s="118"/>
      <c r="Z383" s="1"/>
      <c r="AA383" s="1"/>
      <c r="AB383" s="1"/>
      <c r="AC383" s="164"/>
      <c r="AD383" s="164"/>
      <c r="AE383" s="164"/>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row>
    <row r="384" spans="1:77" ht="15.75" customHeight="1" x14ac:dyDescent="0.55000000000000004">
      <c r="A384" s="46"/>
      <c r="B384" s="50"/>
      <c r="C384" s="357"/>
      <c r="D384" s="357"/>
      <c r="E384" s="357"/>
      <c r="F384" s="357"/>
      <c r="G384" s="357"/>
      <c r="H384" s="357"/>
      <c r="I384" s="357"/>
      <c r="J384" s="357"/>
      <c r="K384" s="357"/>
      <c r="L384" s="357"/>
      <c r="M384" s="357"/>
      <c r="N384" s="357"/>
      <c r="O384" s="357"/>
      <c r="P384" s="100" t="s">
        <v>282</v>
      </c>
      <c r="Q384" s="345" t="s">
        <v>274</v>
      </c>
      <c r="R384" s="345"/>
      <c r="S384" s="345"/>
      <c r="T384" s="345"/>
      <c r="U384" s="345"/>
      <c r="V384" s="345"/>
      <c r="W384" s="346"/>
      <c r="X384" s="333">
        <v>0</v>
      </c>
      <c r="Y384" s="334"/>
      <c r="Z384" s="1"/>
      <c r="AA384" s="1"/>
      <c r="AB384" s="1"/>
      <c r="AC384" s="164"/>
      <c r="AD384" s="164"/>
      <c r="AE384" s="164"/>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row>
    <row r="385" spans="1:77" ht="17.399999999999999" x14ac:dyDescent="0.55000000000000004">
      <c r="A385" s="46"/>
      <c r="B385" s="347" t="s">
        <v>472</v>
      </c>
      <c r="C385" s="348"/>
      <c r="D385" s="348"/>
      <c r="E385" s="348"/>
      <c r="F385" s="348"/>
      <c r="G385" s="348"/>
      <c r="H385" s="348"/>
      <c r="I385" s="348"/>
      <c r="J385" s="348"/>
      <c r="K385" s="348"/>
      <c r="L385" s="348"/>
      <c r="M385" s="348"/>
      <c r="N385" s="348"/>
      <c r="O385" s="349"/>
      <c r="P385" s="350" t="s">
        <v>50</v>
      </c>
      <c r="Q385" s="351"/>
      <c r="R385" s="351"/>
      <c r="S385" s="351"/>
      <c r="T385" s="351"/>
      <c r="U385" s="351"/>
      <c r="V385" s="351"/>
      <c r="W385" s="351"/>
      <c r="X385" s="352" t="s">
        <v>49</v>
      </c>
      <c r="Y385" s="353"/>
      <c r="Z385" s="1"/>
      <c r="AA385" s="1"/>
      <c r="AB385" s="1"/>
      <c r="AC385" s="164"/>
      <c r="AD385" s="164"/>
      <c r="AE385" s="164"/>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row>
    <row r="386" spans="1:77" ht="15.75" customHeight="1" x14ac:dyDescent="0.55000000000000004">
      <c r="A386" s="46"/>
      <c r="B386" s="49"/>
      <c r="C386" s="354" t="s">
        <v>473</v>
      </c>
      <c r="D386" s="355"/>
      <c r="E386" s="355"/>
      <c r="F386" s="355"/>
      <c r="G386" s="355"/>
      <c r="H386" s="355"/>
      <c r="I386" s="355"/>
      <c r="J386" s="355"/>
      <c r="K386" s="355"/>
      <c r="L386" s="355"/>
      <c r="M386" s="355"/>
      <c r="N386" s="355"/>
      <c r="O386" s="355"/>
      <c r="P386" s="120" t="s">
        <v>280</v>
      </c>
      <c r="Q386" s="132" t="s">
        <v>273</v>
      </c>
      <c r="R386" s="132"/>
      <c r="S386" s="132"/>
      <c r="T386" s="132"/>
      <c r="U386" s="132"/>
      <c r="V386" s="132"/>
      <c r="W386" s="133"/>
      <c r="X386" s="343">
        <v>1</v>
      </c>
      <c r="Y386" s="330"/>
      <c r="Z386" s="1"/>
      <c r="AA386" s="1"/>
      <c r="AB386" s="1"/>
      <c r="AC386" s="164"/>
      <c r="AD386" s="164"/>
      <c r="AE386" s="164"/>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row>
    <row r="387" spans="1:77" ht="15.75" customHeight="1" x14ac:dyDescent="0.55000000000000004">
      <c r="A387" s="46"/>
      <c r="B387" s="49"/>
      <c r="C387" s="356"/>
      <c r="D387" s="357"/>
      <c r="E387" s="357"/>
      <c r="F387" s="357"/>
      <c r="G387" s="357"/>
      <c r="H387" s="357"/>
      <c r="I387" s="357"/>
      <c r="J387" s="357"/>
      <c r="K387" s="357"/>
      <c r="L387" s="357"/>
      <c r="M387" s="357"/>
      <c r="N387" s="357"/>
      <c r="O387" s="357"/>
      <c r="P387" s="156"/>
      <c r="Q387" s="70"/>
      <c r="R387" s="157"/>
      <c r="S387" s="158"/>
      <c r="T387" s="158"/>
      <c r="U387" s="2"/>
      <c r="V387" s="2"/>
      <c r="W387" s="161"/>
      <c r="X387" s="160"/>
      <c r="Y387" s="161"/>
      <c r="Z387" s="1"/>
      <c r="AA387" s="1"/>
      <c r="AB387" s="1"/>
      <c r="AC387" s="164"/>
      <c r="AD387" s="164"/>
      <c r="AE387" s="164"/>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row>
    <row r="388" spans="1:77" ht="15.75" customHeight="1" x14ac:dyDescent="0.55000000000000004">
      <c r="A388" s="46"/>
      <c r="B388" s="49"/>
      <c r="C388" s="354" t="s">
        <v>474</v>
      </c>
      <c r="D388" s="355"/>
      <c r="E388" s="355"/>
      <c r="F388" s="355"/>
      <c r="G388" s="355"/>
      <c r="H388" s="355"/>
      <c r="I388" s="355"/>
      <c r="J388" s="355"/>
      <c r="K388" s="355"/>
      <c r="L388" s="355"/>
      <c r="M388" s="355"/>
      <c r="N388" s="355"/>
      <c r="O388" s="355"/>
      <c r="P388" s="344" t="s">
        <v>281</v>
      </c>
      <c r="Q388" s="358" t="s">
        <v>292</v>
      </c>
      <c r="R388" s="358"/>
      <c r="S388" s="358"/>
      <c r="T388" s="358"/>
      <c r="U388" s="358"/>
      <c r="V388" s="358"/>
      <c r="W388" s="359"/>
      <c r="X388" s="344">
        <v>0.5</v>
      </c>
      <c r="Y388" s="332"/>
      <c r="Z388" s="1"/>
      <c r="AA388" s="1"/>
      <c r="AB388" s="1"/>
      <c r="AC388" s="164"/>
      <c r="AD388" s="164"/>
      <c r="AE388" s="164"/>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row>
    <row r="389" spans="1:77" ht="15.75" customHeight="1" x14ac:dyDescent="0.55000000000000004">
      <c r="A389" s="46"/>
      <c r="B389" s="49"/>
      <c r="C389" s="356"/>
      <c r="D389" s="357"/>
      <c r="E389" s="357"/>
      <c r="F389" s="357"/>
      <c r="G389" s="357"/>
      <c r="H389" s="357"/>
      <c r="I389" s="357"/>
      <c r="J389" s="357"/>
      <c r="K389" s="357"/>
      <c r="L389" s="357"/>
      <c r="M389" s="357"/>
      <c r="N389" s="357"/>
      <c r="O389" s="357"/>
      <c r="P389" s="344"/>
      <c r="Q389" s="358"/>
      <c r="R389" s="358"/>
      <c r="S389" s="358"/>
      <c r="T389" s="358"/>
      <c r="U389" s="358"/>
      <c r="V389" s="358"/>
      <c r="W389" s="359"/>
      <c r="X389" s="344"/>
      <c r="Y389" s="332"/>
      <c r="Z389" s="1"/>
      <c r="AA389" s="1"/>
      <c r="AB389" s="1"/>
      <c r="AC389" s="164"/>
      <c r="AD389" s="164"/>
      <c r="AE389" s="164"/>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row>
    <row r="390" spans="1:77" ht="15.75" customHeight="1" x14ac:dyDescent="0.55000000000000004">
      <c r="A390" s="46"/>
      <c r="B390" s="49"/>
      <c r="C390" s="355" t="s">
        <v>618</v>
      </c>
      <c r="D390" s="355"/>
      <c r="E390" s="355"/>
      <c r="F390" s="355"/>
      <c r="G390" s="355"/>
      <c r="H390" s="355"/>
      <c r="I390" s="355"/>
      <c r="J390" s="355"/>
      <c r="K390" s="355"/>
      <c r="L390" s="355"/>
      <c r="M390" s="355"/>
      <c r="N390" s="355"/>
      <c r="O390" s="355"/>
      <c r="P390" s="156"/>
      <c r="Q390" s="70"/>
      <c r="R390" s="157"/>
      <c r="S390" s="158"/>
      <c r="T390" s="158"/>
      <c r="U390" s="2"/>
      <c r="V390" s="2"/>
      <c r="W390" s="161"/>
      <c r="X390" s="160"/>
      <c r="Y390" s="161"/>
      <c r="Z390" s="1"/>
      <c r="AA390" s="1"/>
      <c r="AB390" s="1"/>
      <c r="AC390" s="164"/>
      <c r="AD390" s="164"/>
      <c r="AE390" s="164"/>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row>
    <row r="391" spans="1:77" ht="15.75" customHeight="1" x14ac:dyDescent="0.55000000000000004">
      <c r="A391" s="46"/>
      <c r="B391" s="49"/>
      <c r="C391" s="357"/>
      <c r="D391" s="357"/>
      <c r="E391" s="357"/>
      <c r="F391" s="357"/>
      <c r="G391" s="357"/>
      <c r="H391" s="357"/>
      <c r="I391" s="357"/>
      <c r="J391" s="357"/>
      <c r="K391" s="357"/>
      <c r="L391" s="357"/>
      <c r="M391" s="357"/>
      <c r="N391" s="357"/>
      <c r="O391" s="357"/>
      <c r="P391" s="100" t="s">
        <v>282</v>
      </c>
      <c r="Q391" s="345" t="s">
        <v>274</v>
      </c>
      <c r="R391" s="345"/>
      <c r="S391" s="345"/>
      <c r="T391" s="345"/>
      <c r="U391" s="345"/>
      <c r="V391" s="345"/>
      <c r="W391" s="346"/>
      <c r="X391" s="333">
        <v>0</v>
      </c>
      <c r="Y391" s="334"/>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row>
    <row r="392" spans="1:77" ht="15.3" x14ac:dyDescent="0.55000000000000004">
      <c r="A392" s="539"/>
      <c r="B392" s="539"/>
      <c r="C392" s="539"/>
      <c r="D392" s="539"/>
      <c r="E392" s="539"/>
      <c r="F392" s="539"/>
      <c r="G392" s="539"/>
      <c r="H392" s="539"/>
      <c r="I392" s="539"/>
      <c r="J392" s="539"/>
      <c r="K392" s="539"/>
      <c r="L392" s="539"/>
      <c r="M392" s="539"/>
      <c r="N392" s="539"/>
      <c r="O392" s="539"/>
      <c r="P392" s="539"/>
      <c r="Q392" s="539"/>
      <c r="R392" s="539"/>
      <c r="S392" s="539"/>
      <c r="T392" s="539"/>
      <c r="U392" s="539"/>
      <c r="V392" s="539"/>
      <c r="W392" s="539"/>
      <c r="X392" s="539"/>
      <c r="Y392" s="539"/>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row>
    <row r="393" spans="1:77" ht="17.399999999999999" x14ac:dyDescent="0.55000000000000004">
      <c r="A393" s="367" t="s">
        <v>112</v>
      </c>
      <c r="B393" s="368"/>
      <c r="C393" s="368"/>
      <c r="D393" s="368"/>
      <c r="E393" s="368"/>
      <c r="F393" s="368"/>
      <c r="G393" s="368"/>
      <c r="H393" s="368"/>
      <c r="I393" s="368"/>
      <c r="J393" s="368"/>
      <c r="K393" s="368"/>
      <c r="L393" s="368"/>
      <c r="M393" s="368"/>
      <c r="N393" s="368"/>
      <c r="O393" s="369"/>
      <c r="P393" s="363" t="s">
        <v>50</v>
      </c>
      <c r="Q393" s="364"/>
      <c r="R393" s="364"/>
      <c r="S393" s="364"/>
      <c r="T393" s="364"/>
      <c r="U393" s="364"/>
      <c r="V393" s="364"/>
      <c r="W393" s="364"/>
      <c r="X393" s="365" t="s">
        <v>49</v>
      </c>
      <c r="Y393" s="366"/>
      <c r="Z393" s="1"/>
      <c r="AA393" s="1"/>
      <c r="AB393" s="1"/>
      <c r="AC393" s="1"/>
      <c r="AD393" s="1"/>
      <c r="AE393" s="487"/>
      <c r="AF393" s="487"/>
      <c r="AG393" s="487"/>
      <c r="AH393" s="487"/>
      <c r="AI393" s="487"/>
      <c r="AJ393" s="487"/>
      <c r="AK393" s="487"/>
      <c r="AL393" s="487"/>
      <c r="AM393" s="487"/>
      <c r="AN393" s="487"/>
      <c r="AO393" s="487"/>
      <c r="AP393" s="487"/>
      <c r="AQ393" s="487"/>
      <c r="AR393" s="487"/>
      <c r="AS393" s="487"/>
      <c r="AT393" s="487"/>
      <c r="AU393" s="487"/>
      <c r="AV393" s="487"/>
      <c r="AW393" s="487"/>
      <c r="AX393" s="487"/>
      <c r="AY393" s="487"/>
      <c r="AZ393" s="487"/>
      <c r="BA393" s="487"/>
      <c r="BB393" s="488"/>
      <c r="BC393" s="1"/>
      <c r="BD393" s="1"/>
      <c r="BE393" s="1"/>
      <c r="BF393" s="1"/>
      <c r="BG393" s="1"/>
      <c r="BH393" s="1"/>
      <c r="BI393" s="1"/>
      <c r="BJ393" s="1"/>
      <c r="BK393" s="1"/>
      <c r="BL393" s="1"/>
      <c r="BM393" s="1"/>
      <c r="BN393" s="1"/>
      <c r="BO393" s="1"/>
      <c r="BP393" s="1"/>
      <c r="BQ393" s="1"/>
      <c r="BR393" s="1"/>
      <c r="BS393" s="1"/>
      <c r="BT393" s="1"/>
      <c r="BU393" s="1"/>
      <c r="BV393" s="1"/>
      <c r="BW393" s="1"/>
      <c r="BX393" s="1"/>
      <c r="BY393" s="1"/>
    </row>
    <row r="394" spans="1:77" ht="15.75" customHeight="1" x14ac:dyDescent="0.55000000000000004">
      <c r="A394" s="176" t="s">
        <v>72</v>
      </c>
      <c r="B394" s="376" t="s">
        <v>476</v>
      </c>
      <c r="C394" s="536"/>
      <c r="D394" s="536"/>
      <c r="E394" s="536"/>
      <c r="F394" s="536"/>
      <c r="G394" s="536"/>
      <c r="H394" s="536"/>
      <c r="I394" s="536"/>
      <c r="J394" s="536"/>
      <c r="K394" s="536"/>
      <c r="L394" s="536"/>
      <c r="M394" s="536"/>
      <c r="N394" s="536"/>
      <c r="O394" s="536"/>
      <c r="P394" s="120" t="s">
        <v>280</v>
      </c>
      <c r="Q394" s="132" t="s">
        <v>273</v>
      </c>
      <c r="R394" s="132"/>
      <c r="S394" s="132"/>
      <c r="T394" s="132"/>
      <c r="U394" s="132"/>
      <c r="V394" s="132"/>
      <c r="W394" s="133"/>
      <c r="X394" s="343">
        <v>1</v>
      </c>
      <c r="Y394" s="330"/>
      <c r="Z394" s="1"/>
      <c r="AA394" s="1"/>
      <c r="AB394" s="1"/>
      <c r="AC394" s="1"/>
      <c r="AD394" s="1"/>
      <c r="AE394" s="35"/>
      <c r="AF394" s="35"/>
      <c r="AG394" s="535"/>
      <c r="AH394" s="535"/>
      <c r="AI394" s="535"/>
      <c r="AJ394" s="535"/>
      <c r="AK394" s="535"/>
      <c r="AL394" s="535"/>
      <c r="AM394" s="535"/>
      <c r="AN394" s="535"/>
      <c r="AO394" s="535"/>
      <c r="AP394" s="535"/>
      <c r="AQ394" s="535"/>
      <c r="AR394" s="36"/>
      <c r="AS394" s="36"/>
      <c r="AT394" s="36"/>
      <c r="AU394" s="36"/>
      <c r="AV394" s="36"/>
      <c r="AW394" s="36"/>
      <c r="AX394" s="36"/>
      <c r="AY394" s="36"/>
      <c r="AZ394" s="36"/>
      <c r="BA394" s="36"/>
      <c r="BB394" s="36"/>
      <c r="BC394" s="1"/>
      <c r="BD394" s="1"/>
      <c r="BE394" s="1"/>
      <c r="BF394" s="1"/>
      <c r="BG394" s="1"/>
      <c r="BH394" s="1"/>
      <c r="BI394" s="1"/>
      <c r="BJ394" s="1"/>
      <c r="BK394" s="1"/>
      <c r="BL394" s="1"/>
      <c r="BM394" s="1"/>
      <c r="BN394" s="1"/>
      <c r="BO394" s="1"/>
      <c r="BP394" s="1"/>
      <c r="BQ394" s="1"/>
      <c r="BR394" s="1"/>
      <c r="BS394" s="1"/>
      <c r="BT394" s="1"/>
      <c r="BU394" s="1"/>
      <c r="BV394" s="1"/>
      <c r="BW394" s="1"/>
      <c r="BX394" s="1"/>
      <c r="BY394" s="1"/>
    </row>
    <row r="395" spans="1:77" ht="15.75" customHeight="1" x14ac:dyDescent="0.55000000000000004">
      <c r="A395" s="176" t="s">
        <v>72</v>
      </c>
      <c r="B395" s="354" t="s">
        <v>478</v>
      </c>
      <c r="C395" s="355"/>
      <c r="D395" s="355"/>
      <c r="E395" s="355"/>
      <c r="F395" s="355"/>
      <c r="G395" s="355"/>
      <c r="H395" s="355"/>
      <c r="I395" s="355"/>
      <c r="J395" s="355"/>
      <c r="K395" s="355"/>
      <c r="L395" s="355"/>
      <c r="M395" s="355"/>
      <c r="N395" s="355"/>
      <c r="O395" s="355"/>
      <c r="P395" s="156"/>
      <c r="Q395" s="70"/>
      <c r="R395" s="157"/>
      <c r="S395" s="74"/>
      <c r="T395" s="74"/>
      <c r="U395" s="24"/>
      <c r="V395" s="24"/>
      <c r="W395" s="179"/>
      <c r="X395" s="181"/>
      <c r="Y395" s="179"/>
      <c r="Z395" s="1"/>
      <c r="AA395" s="1"/>
      <c r="AB395" s="1"/>
      <c r="AC395" s="1"/>
      <c r="AD395" s="1"/>
      <c r="AE395" s="1"/>
      <c r="AF395" s="1"/>
      <c r="AG395" s="326"/>
      <c r="AH395" s="326"/>
      <c r="AI395" s="326"/>
      <c r="AJ395" s="326"/>
      <c r="AK395" s="326"/>
      <c r="AL395" s="326"/>
      <c r="AM395" s="326"/>
      <c r="AN395" s="326"/>
      <c r="AO395" s="326"/>
      <c r="AP395" s="326"/>
      <c r="AQ395" s="326"/>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row>
    <row r="396" spans="1:77" ht="15.75" customHeight="1" x14ac:dyDescent="0.55000000000000004">
      <c r="A396" s="177" t="s">
        <v>72</v>
      </c>
      <c r="B396" s="398" t="s">
        <v>479</v>
      </c>
      <c r="C396" s="374"/>
      <c r="D396" s="374"/>
      <c r="E396" s="374"/>
      <c r="F396" s="374"/>
      <c r="G396" s="374"/>
      <c r="H396" s="374"/>
      <c r="I396" s="374"/>
      <c r="J396" s="374"/>
      <c r="K396" s="374"/>
      <c r="L396" s="374"/>
      <c r="M396" s="374"/>
      <c r="N396" s="374"/>
      <c r="O396" s="374"/>
      <c r="P396" s="156"/>
      <c r="Q396" s="70"/>
      <c r="R396" s="157"/>
      <c r="S396" s="158"/>
      <c r="T396" s="158"/>
      <c r="U396" s="173"/>
      <c r="V396" s="173"/>
      <c r="W396" s="180"/>
      <c r="X396" s="182"/>
      <c r="Y396" s="180"/>
      <c r="Z396" s="1"/>
      <c r="AA396" s="1"/>
      <c r="AB396" s="1"/>
      <c r="AC396" s="1"/>
      <c r="AD396" s="1"/>
      <c r="AE396" s="1"/>
      <c r="AF396" s="1"/>
      <c r="AG396" s="23"/>
      <c r="AH396" s="23"/>
      <c r="AI396" s="23"/>
      <c r="AJ396" s="23"/>
      <c r="AK396" s="23"/>
      <c r="AL396" s="23"/>
      <c r="AM396" s="23"/>
      <c r="AN396" s="23"/>
      <c r="AO396" s="23"/>
      <c r="AP396" s="23"/>
      <c r="AQ396" s="23"/>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row>
    <row r="397" spans="1:77" ht="15.75" customHeight="1" x14ac:dyDescent="0.55000000000000004">
      <c r="A397" s="178"/>
      <c r="B397" s="356"/>
      <c r="C397" s="357"/>
      <c r="D397" s="357"/>
      <c r="E397" s="357"/>
      <c r="F397" s="357"/>
      <c r="G397" s="357"/>
      <c r="H397" s="357"/>
      <c r="I397" s="357"/>
      <c r="J397" s="357"/>
      <c r="K397" s="357"/>
      <c r="L397" s="357"/>
      <c r="M397" s="357"/>
      <c r="N397" s="357"/>
      <c r="O397" s="357"/>
      <c r="P397" s="344" t="s">
        <v>281</v>
      </c>
      <c r="Q397" s="372" t="s">
        <v>483</v>
      </c>
      <c r="R397" s="372"/>
      <c r="S397" s="372"/>
      <c r="T397" s="372"/>
      <c r="U397" s="372"/>
      <c r="V397" s="372"/>
      <c r="W397" s="373"/>
      <c r="X397" s="344">
        <v>0.5</v>
      </c>
      <c r="Y397" s="332"/>
      <c r="Z397" s="1"/>
      <c r="AA397" s="1"/>
      <c r="AB397" s="1"/>
      <c r="AC397" s="1"/>
      <c r="AD397" s="1"/>
      <c r="AE397" s="1"/>
      <c r="AF397" s="1"/>
      <c r="AG397" s="326"/>
      <c r="AH397" s="326"/>
      <c r="AI397" s="326"/>
      <c r="AJ397" s="326"/>
      <c r="AK397" s="326"/>
      <c r="AL397" s="326"/>
      <c r="AM397" s="326"/>
      <c r="AN397" s="326"/>
      <c r="AO397" s="326"/>
      <c r="AP397" s="326"/>
      <c r="AQ397" s="326"/>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row>
    <row r="398" spans="1:77" ht="15.75" customHeight="1" x14ac:dyDescent="0.55000000000000004">
      <c r="A398" s="177" t="s">
        <v>72</v>
      </c>
      <c r="B398" s="354" t="s">
        <v>480</v>
      </c>
      <c r="C398" s="355"/>
      <c r="D398" s="355"/>
      <c r="E398" s="355"/>
      <c r="F398" s="355"/>
      <c r="G398" s="355"/>
      <c r="H398" s="355"/>
      <c r="I398" s="355"/>
      <c r="J398" s="355"/>
      <c r="K398" s="355"/>
      <c r="L398" s="355"/>
      <c r="M398" s="355"/>
      <c r="N398" s="355"/>
      <c r="O398" s="355"/>
      <c r="P398" s="344"/>
      <c r="Q398" s="372"/>
      <c r="R398" s="372"/>
      <c r="S398" s="372"/>
      <c r="T398" s="372"/>
      <c r="U398" s="372"/>
      <c r="V398" s="372"/>
      <c r="W398" s="373"/>
      <c r="X398" s="344"/>
      <c r="Y398" s="332"/>
      <c r="Z398" s="1"/>
      <c r="AA398" s="1"/>
      <c r="AB398" s="1"/>
      <c r="AC398" s="1"/>
      <c r="AD398" s="1"/>
      <c r="AE398" s="487"/>
      <c r="AF398" s="487"/>
      <c r="AG398" s="487"/>
      <c r="AH398" s="487"/>
      <c r="AI398" s="487"/>
      <c r="AJ398" s="487"/>
      <c r="AK398" s="487"/>
      <c r="AL398" s="487"/>
      <c r="AM398" s="487"/>
      <c r="AN398" s="487"/>
      <c r="AO398" s="487"/>
      <c r="AP398" s="487"/>
      <c r="AQ398" s="487"/>
      <c r="AR398" s="487"/>
      <c r="AS398" s="487"/>
      <c r="AT398" s="487"/>
      <c r="AU398" s="487"/>
      <c r="AV398" s="487"/>
      <c r="AW398" s="487"/>
      <c r="AX398" s="487"/>
      <c r="AY398" s="487"/>
      <c r="AZ398" s="487"/>
      <c r="BA398" s="487"/>
      <c r="BB398" s="487"/>
      <c r="BC398" s="1"/>
      <c r="BD398" s="1"/>
      <c r="BE398" s="1"/>
      <c r="BF398" s="1"/>
      <c r="BG398" s="1"/>
      <c r="BH398" s="1"/>
      <c r="BI398" s="1"/>
      <c r="BJ398" s="1"/>
      <c r="BK398" s="1"/>
      <c r="BL398" s="1"/>
      <c r="BM398" s="1"/>
      <c r="BN398" s="1"/>
      <c r="BO398" s="1"/>
      <c r="BP398" s="1"/>
      <c r="BQ398" s="1"/>
      <c r="BR398" s="1"/>
      <c r="BS398" s="1"/>
      <c r="BT398" s="1"/>
      <c r="BU398" s="1"/>
      <c r="BV398" s="1"/>
      <c r="BW398" s="1"/>
      <c r="BX398" s="1"/>
      <c r="BY398" s="1"/>
    </row>
    <row r="399" spans="1:77" ht="15.75" customHeight="1" x14ac:dyDescent="0.55000000000000004">
      <c r="A399" s="178"/>
      <c r="B399" s="356"/>
      <c r="C399" s="357"/>
      <c r="D399" s="357"/>
      <c r="E399" s="357"/>
      <c r="F399" s="357"/>
      <c r="G399" s="357"/>
      <c r="H399" s="357"/>
      <c r="I399" s="357"/>
      <c r="J399" s="357"/>
      <c r="K399" s="357"/>
      <c r="L399" s="357"/>
      <c r="M399" s="357"/>
      <c r="N399" s="357"/>
      <c r="O399" s="357"/>
      <c r="P399" s="156"/>
      <c r="Q399" s="70"/>
      <c r="R399" s="157"/>
      <c r="S399" s="158"/>
      <c r="T399" s="158"/>
      <c r="U399" s="173"/>
      <c r="V399" s="173"/>
      <c r="W399" s="180"/>
      <c r="X399" s="182"/>
      <c r="Y399" s="180"/>
      <c r="Z399" s="1"/>
      <c r="AA399" s="1"/>
      <c r="AB399" s="1"/>
      <c r="AC399" s="1"/>
      <c r="AD399" s="1"/>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1"/>
      <c r="BD399" s="1"/>
      <c r="BE399" s="1"/>
      <c r="BF399" s="1"/>
      <c r="BG399" s="1"/>
      <c r="BH399" s="1"/>
      <c r="BI399" s="1"/>
      <c r="BJ399" s="1"/>
      <c r="BK399" s="1"/>
      <c r="BL399" s="1"/>
      <c r="BM399" s="1"/>
      <c r="BN399" s="1"/>
      <c r="BO399" s="1"/>
      <c r="BP399" s="1"/>
      <c r="BQ399" s="1"/>
      <c r="BR399" s="1"/>
      <c r="BS399" s="1"/>
      <c r="BT399" s="1"/>
      <c r="BU399" s="1"/>
      <c r="BV399" s="1"/>
      <c r="BW399" s="1"/>
      <c r="BX399" s="1"/>
      <c r="BY399" s="1"/>
    </row>
    <row r="400" spans="1:77" ht="15.75" customHeight="1" x14ac:dyDescent="0.55000000000000004">
      <c r="A400" s="360" t="s">
        <v>13</v>
      </c>
      <c r="B400" s="354" t="s">
        <v>481</v>
      </c>
      <c r="C400" s="355"/>
      <c r="D400" s="355"/>
      <c r="E400" s="355"/>
      <c r="F400" s="355"/>
      <c r="G400" s="355"/>
      <c r="H400" s="355"/>
      <c r="I400" s="355"/>
      <c r="J400" s="355"/>
      <c r="K400" s="355"/>
      <c r="L400" s="355"/>
      <c r="M400" s="355"/>
      <c r="N400" s="355"/>
      <c r="O400" s="355"/>
      <c r="P400" s="66"/>
      <c r="W400" s="115"/>
      <c r="X400" s="66"/>
      <c r="Y400" s="115"/>
      <c r="Z400" s="1"/>
      <c r="AA400" s="1"/>
      <c r="AB400" s="1"/>
      <c r="AC400" s="1"/>
      <c r="AD400" s="1"/>
      <c r="AE400" s="1"/>
      <c r="AF400" s="1"/>
      <c r="AG400" s="534"/>
      <c r="AH400" s="534"/>
      <c r="AI400" s="534"/>
      <c r="AJ400" s="534"/>
      <c r="AK400" s="534"/>
      <c r="AL400" s="534"/>
      <c r="AM400" s="534"/>
      <c r="AN400" s="534"/>
      <c r="AO400" s="534"/>
      <c r="AP400" s="534"/>
      <c r="AQ400" s="534"/>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row>
    <row r="401" spans="1:77" ht="15.75" customHeight="1" x14ac:dyDescent="0.55000000000000004">
      <c r="A401" s="362"/>
      <c r="B401" s="356"/>
      <c r="C401" s="357"/>
      <c r="D401" s="357"/>
      <c r="E401" s="357"/>
      <c r="F401" s="357"/>
      <c r="G401" s="357"/>
      <c r="H401" s="357"/>
      <c r="I401" s="357"/>
      <c r="J401" s="357"/>
      <c r="K401" s="357"/>
      <c r="L401" s="357"/>
      <c r="M401" s="357"/>
      <c r="N401" s="357"/>
      <c r="O401" s="357"/>
      <c r="P401" s="113" t="s">
        <v>282</v>
      </c>
      <c r="Q401" s="370" t="s">
        <v>484</v>
      </c>
      <c r="R401" s="370"/>
      <c r="S401" s="370"/>
      <c r="T401" s="370"/>
      <c r="U401" s="370"/>
      <c r="V401" s="370"/>
      <c r="W401" s="371"/>
      <c r="X401" s="344">
        <v>0</v>
      </c>
      <c r="Y401" s="332"/>
      <c r="Z401" s="1"/>
      <c r="AA401" s="1"/>
      <c r="AB401" s="1"/>
      <c r="AC401" s="1"/>
      <c r="AD401" s="1"/>
      <c r="AE401" s="1"/>
      <c r="AF401" s="1"/>
      <c r="AG401" s="172"/>
      <c r="AH401" s="172"/>
      <c r="AI401" s="172"/>
      <c r="AJ401" s="172"/>
      <c r="AK401" s="172"/>
      <c r="AL401" s="172"/>
      <c r="AM401" s="172"/>
      <c r="AN401" s="172"/>
      <c r="AO401" s="172"/>
      <c r="AP401" s="172"/>
      <c r="AQ401" s="172"/>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row>
    <row r="402" spans="1:77" ht="15.75" customHeight="1" x14ac:dyDescent="0.55000000000000004">
      <c r="A402" s="360" t="s">
        <v>13</v>
      </c>
      <c r="B402" s="354" t="s">
        <v>482</v>
      </c>
      <c r="C402" s="355"/>
      <c r="D402" s="355"/>
      <c r="E402" s="355"/>
      <c r="F402" s="355"/>
      <c r="G402" s="355"/>
      <c r="H402" s="355"/>
      <c r="I402" s="355"/>
      <c r="J402" s="355"/>
      <c r="K402" s="355"/>
      <c r="L402" s="355"/>
      <c r="M402" s="355"/>
      <c r="N402" s="355"/>
      <c r="O402" s="355"/>
      <c r="P402" s="156"/>
      <c r="Q402" s="70"/>
      <c r="R402" s="157"/>
      <c r="S402" s="74"/>
      <c r="T402" s="74"/>
      <c r="U402" s="24"/>
      <c r="V402" s="24"/>
      <c r="W402" s="179"/>
      <c r="X402" s="181"/>
      <c r="Y402" s="179"/>
      <c r="Z402" s="1"/>
      <c r="AA402" s="1"/>
      <c r="AB402" s="1"/>
      <c r="AC402" s="1"/>
      <c r="AD402" s="1"/>
      <c r="AE402" s="1"/>
      <c r="AF402" s="1"/>
      <c r="AG402" s="326"/>
      <c r="AH402" s="326"/>
      <c r="AI402" s="326"/>
      <c r="AJ402" s="326"/>
      <c r="AK402" s="326"/>
      <c r="AL402" s="326"/>
      <c r="AM402" s="326"/>
      <c r="AN402" s="326"/>
      <c r="AO402" s="326"/>
      <c r="AP402" s="326"/>
      <c r="AQ402" s="326"/>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row>
    <row r="403" spans="1:77" ht="15.75" customHeight="1" x14ac:dyDescent="0.55000000000000004">
      <c r="A403" s="361"/>
      <c r="B403" s="398"/>
      <c r="C403" s="374"/>
      <c r="D403" s="374"/>
      <c r="E403" s="374"/>
      <c r="F403" s="374"/>
      <c r="G403" s="374"/>
      <c r="H403" s="374"/>
      <c r="I403" s="374"/>
      <c r="J403" s="374"/>
      <c r="K403" s="374"/>
      <c r="L403" s="374"/>
      <c r="M403" s="374"/>
      <c r="N403" s="374"/>
      <c r="O403" s="374"/>
      <c r="P403" s="156"/>
      <c r="Q403" s="70"/>
      <c r="R403" s="157"/>
      <c r="S403" s="158"/>
      <c r="T403" s="158"/>
      <c r="U403" s="173"/>
      <c r="V403" s="173"/>
      <c r="W403" s="180"/>
      <c r="X403" s="182"/>
      <c r="Y403" s="180"/>
      <c r="Z403" s="1"/>
      <c r="AA403" s="1"/>
      <c r="AB403" s="1"/>
      <c r="AC403" s="1"/>
      <c r="AD403" s="1"/>
      <c r="AE403" s="1"/>
      <c r="AF403" s="1"/>
      <c r="AG403" s="23"/>
      <c r="AH403" s="23"/>
      <c r="AI403" s="23"/>
      <c r="AJ403" s="23"/>
      <c r="AK403" s="23"/>
      <c r="AL403" s="23"/>
      <c r="AM403" s="23"/>
      <c r="AN403" s="23"/>
      <c r="AO403" s="23"/>
      <c r="AP403" s="23"/>
      <c r="AQ403" s="23"/>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row>
    <row r="404" spans="1:77" ht="15.75" customHeight="1" x14ac:dyDescent="0.55000000000000004">
      <c r="A404" s="361"/>
      <c r="B404" s="398"/>
      <c r="C404" s="374"/>
      <c r="D404" s="374"/>
      <c r="E404" s="374"/>
      <c r="F404" s="374"/>
      <c r="G404" s="374"/>
      <c r="H404" s="374"/>
      <c r="I404" s="374"/>
      <c r="J404" s="374"/>
      <c r="K404" s="374"/>
      <c r="L404" s="374"/>
      <c r="M404" s="374"/>
      <c r="N404" s="374"/>
      <c r="O404" s="374"/>
      <c r="P404" s="156"/>
      <c r="Q404" s="70"/>
      <c r="R404" s="157"/>
      <c r="S404" s="158"/>
      <c r="T404" s="158"/>
      <c r="U404" s="173"/>
      <c r="V404" s="173"/>
      <c r="W404" s="180"/>
      <c r="X404" s="182"/>
      <c r="Y404" s="180"/>
      <c r="Z404" s="1"/>
      <c r="AA404" s="1"/>
      <c r="AB404" s="1"/>
      <c r="AC404" s="1"/>
      <c r="AD404" s="1"/>
      <c r="AE404" s="1"/>
      <c r="AF404" s="1"/>
      <c r="AG404" s="23"/>
      <c r="AH404" s="23"/>
      <c r="AI404" s="23"/>
      <c r="AJ404" s="23"/>
      <c r="AK404" s="23"/>
      <c r="AL404" s="23"/>
      <c r="AM404" s="23"/>
      <c r="AN404" s="23"/>
      <c r="AO404" s="23"/>
      <c r="AP404" s="23"/>
      <c r="AQ404" s="23"/>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row>
    <row r="405" spans="1:77" ht="15.75" customHeight="1" x14ac:dyDescent="0.55000000000000004">
      <c r="A405" s="362"/>
      <c r="B405" s="356"/>
      <c r="C405" s="357"/>
      <c r="D405" s="357"/>
      <c r="E405" s="357"/>
      <c r="F405" s="357"/>
      <c r="G405" s="357"/>
      <c r="H405" s="357"/>
      <c r="I405" s="357"/>
      <c r="J405" s="357"/>
      <c r="K405" s="357"/>
      <c r="L405" s="357"/>
      <c r="M405" s="357"/>
      <c r="N405" s="357"/>
      <c r="O405" s="357"/>
      <c r="P405" s="100" t="s">
        <v>282</v>
      </c>
      <c r="Q405" s="345" t="s">
        <v>274</v>
      </c>
      <c r="R405" s="345"/>
      <c r="S405" s="345"/>
      <c r="T405" s="345"/>
      <c r="U405" s="345"/>
      <c r="V405" s="345"/>
      <c r="W405" s="346"/>
      <c r="X405" s="333">
        <v>0</v>
      </c>
      <c r="Y405" s="334"/>
      <c r="Z405" s="1"/>
      <c r="AA405" s="1"/>
      <c r="AB405" s="1"/>
      <c r="AC405" s="1"/>
      <c r="AD405" s="1"/>
      <c r="AE405" s="1"/>
      <c r="AF405" s="1"/>
      <c r="AG405" s="23"/>
      <c r="AH405" s="23"/>
      <c r="AI405" s="23"/>
      <c r="AJ405" s="23"/>
      <c r="AK405" s="23"/>
      <c r="AL405" s="23"/>
      <c r="AM405" s="23"/>
      <c r="AN405" s="23"/>
      <c r="AO405" s="23"/>
      <c r="AP405" s="23"/>
      <c r="AQ405" s="23"/>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row>
    <row r="406" spans="1:77" ht="15.75" customHeight="1" x14ac:dyDescent="0.55000000000000004">
      <c r="A406" s="539"/>
      <c r="B406" s="539"/>
      <c r="C406" s="539"/>
      <c r="D406" s="539"/>
      <c r="E406" s="539"/>
      <c r="F406" s="539"/>
      <c r="G406" s="539"/>
      <c r="H406" s="539"/>
      <c r="I406" s="539"/>
      <c r="J406" s="539"/>
      <c r="K406" s="539"/>
      <c r="L406" s="539"/>
      <c r="M406" s="539"/>
      <c r="N406" s="539"/>
      <c r="O406" s="539"/>
      <c r="P406" s="539"/>
      <c r="Q406" s="539"/>
      <c r="R406" s="539"/>
      <c r="S406" s="539"/>
      <c r="T406" s="539"/>
      <c r="U406" s="539"/>
      <c r="V406" s="539"/>
      <c r="W406" s="539"/>
      <c r="X406" s="539"/>
      <c r="Y406" s="539"/>
      <c r="Z406" s="1"/>
      <c r="AA406" s="1"/>
      <c r="AB406" s="1"/>
      <c r="AC406" s="1"/>
      <c r="AD406" s="1"/>
      <c r="AE406" s="1"/>
      <c r="AF406" s="1"/>
      <c r="AG406" s="2"/>
      <c r="AH406" s="2"/>
      <c r="AI406" s="2"/>
      <c r="AJ406" s="2"/>
      <c r="AK406" s="2"/>
      <c r="AL406" s="2"/>
      <c r="AM406" s="2"/>
      <c r="AN406" s="2"/>
      <c r="AO406" s="2"/>
      <c r="AP406" s="2"/>
      <c r="AQ406" s="2"/>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row>
    <row r="407" spans="1:77" ht="15.75" customHeight="1" x14ac:dyDescent="0.55000000000000004">
      <c r="A407" s="540" t="s">
        <v>486</v>
      </c>
      <c r="B407" s="540"/>
      <c r="C407" s="540"/>
      <c r="D407" s="540"/>
      <c r="E407" s="540"/>
      <c r="F407" s="540"/>
      <c r="G407" s="540"/>
      <c r="H407" s="540"/>
      <c r="I407" s="540"/>
      <c r="J407" s="540"/>
      <c r="K407" s="540"/>
      <c r="L407" s="540"/>
      <c r="M407" s="540"/>
      <c r="N407" s="541"/>
      <c r="O407" s="541"/>
      <c r="P407" s="541"/>
      <c r="Q407" s="541"/>
      <c r="R407" s="541"/>
      <c r="S407" s="541"/>
      <c r="T407" s="541"/>
      <c r="U407" s="541"/>
      <c r="V407" s="541"/>
      <c r="W407" s="541"/>
      <c r="X407" s="541"/>
      <c r="Y407" s="541"/>
      <c r="Z407" s="1"/>
      <c r="AA407" s="1"/>
      <c r="AB407" s="1"/>
      <c r="AC407" s="1"/>
      <c r="AD407" s="1"/>
      <c r="AE407" s="1"/>
      <c r="AF407" s="1"/>
      <c r="AG407" s="534"/>
      <c r="AH407" s="534"/>
      <c r="AI407" s="534"/>
      <c r="AJ407" s="534"/>
      <c r="AK407" s="534"/>
      <c r="AL407" s="534"/>
      <c r="AM407" s="534"/>
      <c r="AN407" s="534"/>
      <c r="AO407" s="534"/>
      <c r="AP407" s="534"/>
      <c r="AQ407" s="534"/>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row>
    <row r="408" spans="1:77" ht="31" customHeight="1" x14ac:dyDescent="0.55000000000000004">
      <c r="A408" s="51"/>
      <c r="B408" s="544" t="s">
        <v>492</v>
      </c>
      <c r="C408" s="545"/>
      <c r="D408" s="545"/>
      <c r="E408" s="545"/>
      <c r="F408" s="545"/>
      <c r="G408" s="545"/>
      <c r="H408" s="545"/>
      <c r="I408" s="545"/>
      <c r="J408" s="545"/>
      <c r="K408" s="545"/>
      <c r="L408" s="545"/>
      <c r="M408" s="545"/>
      <c r="N408" s="545"/>
      <c r="O408" s="546"/>
      <c r="P408" s="542" t="s">
        <v>50</v>
      </c>
      <c r="Q408" s="543"/>
      <c r="R408" s="543"/>
      <c r="S408" s="543"/>
      <c r="T408" s="543"/>
      <c r="U408" s="543"/>
      <c r="V408" s="543"/>
      <c r="W408" s="543"/>
      <c r="X408" s="431" t="s">
        <v>49</v>
      </c>
      <c r="Y408" s="433"/>
      <c r="Z408" s="1"/>
      <c r="AA408" s="1"/>
      <c r="AB408" s="1"/>
      <c r="AC408" s="1"/>
      <c r="AD408" s="1"/>
      <c r="AE408" s="1"/>
      <c r="AF408" s="1"/>
      <c r="AG408" s="326"/>
      <c r="AH408" s="326"/>
      <c r="AI408" s="326"/>
      <c r="AJ408" s="326"/>
      <c r="AK408" s="326"/>
      <c r="AL408" s="326"/>
      <c r="AM408" s="326"/>
      <c r="AN408" s="326"/>
      <c r="AO408" s="326"/>
      <c r="AP408" s="326"/>
      <c r="AQ408" s="326"/>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row>
    <row r="409" spans="1:77" ht="15.75" customHeight="1" x14ac:dyDescent="0.55000000000000004">
      <c r="A409" s="51"/>
      <c r="B409" s="183" t="s">
        <v>13</v>
      </c>
      <c r="C409" s="375" t="s">
        <v>487</v>
      </c>
      <c r="D409" s="375"/>
      <c r="E409" s="375"/>
      <c r="F409" s="375"/>
      <c r="G409" s="375"/>
      <c r="H409" s="375"/>
      <c r="I409" s="375"/>
      <c r="J409" s="375"/>
      <c r="K409" s="375"/>
      <c r="L409" s="375"/>
      <c r="M409" s="375"/>
      <c r="N409" s="375"/>
      <c r="O409" s="375"/>
      <c r="P409" s="120" t="s">
        <v>280</v>
      </c>
      <c r="Q409" s="132" t="s">
        <v>273</v>
      </c>
      <c r="R409" s="132"/>
      <c r="S409" s="132"/>
      <c r="T409" s="132"/>
      <c r="U409" s="132"/>
      <c r="V409" s="132"/>
      <c r="W409" s="133"/>
      <c r="X409" s="343">
        <v>1</v>
      </c>
      <c r="Y409" s="330"/>
      <c r="Z409" s="1"/>
      <c r="AA409" s="1"/>
      <c r="AB409" s="1"/>
      <c r="AC409" s="1"/>
      <c r="AD409" s="1"/>
      <c r="AE409" s="1"/>
      <c r="AF409" s="1"/>
      <c r="AG409" s="326"/>
      <c r="AH409" s="326"/>
      <c r="AI409" s="326"/>
      <c r="AJ409" s="326"/>
      <c r="AK409" s="326"/>
      <c r="AL409" s="326"/>
      <c r="AM409" s="326"/>
      <c r="AN409" s="326"/>
      <c r="AO409" s="326"/>
      <c r="AP409" s="326"/>
      <c r="AQ409" s="326"/>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row>
    <row r="410" spans="1:77" ht="15.75" customHeight="1" x14ac:dyDescent="0.55000000000000004">
      <c r="A410" s="51"/>
      <c r="B410" s="183"/>
      <c r="C410" s="375"/>
      <c r="D410" s="375"/>
      <c r="E410" s="375"/>
      <c r="F410" s="375"/>
      <c r="G410" s="375"/>
      <c r="H410" s="375"/>
      <c r="I410" s="375"/>
      <c r="J410" s="375"/>
      <c r="K410" s="375"/>
      <c r="L410" s="375"/>
      <c r="M410" s="375"/>
      <c r="N410" s="375"/>
      <c r="O410" s="375"/>
      <c r="P410" s="156"/>
      <c r="Q410" s="70"/>
      <c r="R410" s="157"/>
      <c r="S410" s="74"/>
      <c r="T410" s="74"/>
      <c r="U410" s="24"/>
      <c r="V410" s="24"/>
      <c r="W410" s="179"/>
      <c r="X410" s="181"/>
      <c r="Y410" s="179"/>
      <c r="Z410" s="1"/>
      <c r="AA410" s="1"/>
      <c r="AB410" s="1"/>
      <c r="AC410" s="1"/>
      <c r="AD410" s="1"/>
      <c r="AE410" s="1"/>
      <c r="AF410" s="1"/>
      <c r="AG410" s="23"/>
      <c r="AH410" s="23"/>
      <c r="AI410" s="23"/>
      <c r="AJ410" s="23"/>
      <c r="AK410" s="23"/>
      <c r="AL410" s="23"/>
      <c r="AM410" s="23"/>
      <c r="AN410" s="23"/>
      <c r="AO410" s="23"/>
      <c r="AP410" s="23"/>
      <c r="AQ410" s="23"/>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row>
    <row r="411" spans="1:77" ht="15.75" customHeight="1" x14ac:dyDescent="0.55000000000000004">
      <c r="A411" s="51"/>
      <c r="B411" s="183"/>
      <c r="C411" s="375"/>
      <c r="D411" s="375"/>
      <c r="E411" s="375"/>
      <c r="F411" s="375"/>
      <c r="G411" s="375"/>
      <c r="H411" s="375"/>
      <c r="I411" s="375"/>
      <c r="J411" s="375"/>
      <c r="K411" s="375"/>
      <c r="L411" s="375"/>
      <c r="M411" s="375"/>
      <c r="N411" s="375"/>
      <c r="O411" s="375"/>
      <c r="P411" s="156"/>
      <c r="Q411" s="70"/>
      <c r="R411" s="157"/>
      <c r="S411" s="158"/>
      <c r="T411" s="158"/>
      <c r="U411" s="173"/>
      <c r="V411" s="173"/>
      <c r="W411" s="180"/>
      <c r="X411" s="182"/>
      <c r="Y411" s="180"/>
      <c r="Z411" s="1"/>
      <c r="AA411" s="1"/>
      <c r="AB411" s="1"/>
      <c r="AC411" s="1"/>
      <c r="AD411" s="1"/>
      <c r="AE411" s="1"/>
      <c r="AF411" s="1"/>
      <c r="AG411" s="23"/>
      <c r="AH411" s="23"/>
      <c r="AI411" s="23"/>
      <c r="AJ411" s="23"/>
      <c r="AK411" s="23"/>
      <c r="AL411" s="23"/>
      <c r="AM411" s="23"/>
      <c r="AN411" s="23"/>
      <c r="AO411" s="23"/>
      <c r="AP411" s="23"/>
      <c r="AQ411" s="23"/>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row>
    <row r="412" spans="1:77" ht="15.75" customHeight="1" x14ac:dyDescent="0.55000000000000004">
      <c r="A412" s="46"/>
      <c r="B412" s="183" t="s">
        <v>75</v>
      </c>
      <c r="C412" s="375" t="s">
        <v>488</v>
      </c>
      <c r="D412" s="375"/>
      <c r="E412" s="375"/>
      <c r="F412" s="375"/>
      <c r="G412" s="375"/>
      <c r="H412" s="375"/>
      <c r="I412" s="375"/>
      <c r="J412" s="375"/>
      <c r="K412" s="375"/>
      <c r="L412" s="375"/>
      <c r="M412" s="375"/>
      <c r="N412" s="375"/>
      <c r="O412" s="375"/>
      <c r="P412" s="66"/>
      <c r="W412" s="115"/>
      <c r="X412" s="66"/>
      <c r="Y412" s="115"/>
      <c r="Z412" s="1"/>
      <c r="AA412" s="1"/>
      <c r="AB412" s="1"/>
      <c r="AC412" s="1"/>
      <c r="AD412" s="1"/>
      <c r="AE412" s="1"/>
      <c r="AF412" s="1"/>
      <c r="AG412" s="370"/>
      <c r="AH412" s="370"/>
      <c r="AI412" s="370"/>
      <c r="AJ412" s="370"/>
      <c r="AK412" s="370"/>
      <c r="AL412" s="370"/>
      <c r="AM412" s="370"/>
      <c r="AN412" s="370"/>
      <c r="AO412" s="370"/>
      <c r="AP412" s="370"/>
      <c r="AQ412" s="370"/>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row>
    <row r="413" spans="1:77" ht="15.75" customHeight="1" x14ac:dyDescent="0.55000000000000004">
      <c r="A413" s="46"/>
      <c r="B413" s="183"/>
      <c r="C413" s="375"/>
      <c r="D413" s="375"/>
      <c r="E413" s="375"/>
      <c r="F413" s="375"/>
      <c r="G413" s="375"/>
      <c r="H413" s="375"/>
      <c r="I413" s="375"/>
      <c r="J413" s="375"/>
      <c r="K413" s="375"/>
      <c r="L413" s="375"/>
      <c r="M413" s="375"/>
      <c r="N413" s="375"/>
      <c r="O413" s="375"/>
      <c r="P413" s="66"/>
      <c r="W413" s="115"/>
      <c r="X413" s="66"/>
      <c r="Y413" s="115"/>
      <c r="Z413" s="1"/>
      <c r="AA413" s="1"/>
      <c r="AB413" s="1"/>
      <c r="AC413" s="1"/>
      <c r="AD413" s="1"/>
      <c r="AE413" s="1"/>
      <c r="AF413" s="1"/>
      <c r="AG413" s="174"/>
      <c r="AH413" s="174"/>
      <c r="AI413" s="174"/>
      <c r="AJ413" s="174"/>
      <c r="AK413" s="174"/>
      <c r="AL413" s="174"/>
      <c r="AM413" s="174"/>
      <c r="AN413" s="174"/>
      <c r="AO413" s="174"/>
      <c r="AP413" s="174"/>
      <c r="AQ413" s="174"/>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row>
    <row r="414" spans="1:77" ht="15.75" customHeight="1" x14ac:dyDescent="0.55000000000000004">
      <c r="A414" s="46"/>
      <c r="B414" s="183"/>
      <c r="C414" s="375"/>
      <c r="D414" s="375"/>
      <c r="E414" s="375"/>
      <c r="F414" s="375"/>
      <c r="G414" s="375"/>
      <c r="H414" s="375"/>
      <c r="I414" s="375"/>
      <c r="J414" s="375"/>
      <c r="K414" s="375"/>
      <c r="L414" s="375"/>
      <c r="M414" s="375"/>
      <c r="N414" s="375"/>
      <c r="O414" s="375"/>
      <c r="P414" s="66"/>
      <c r="W414" s="115"/>
      <c r="X414" s="66"/>
      <c r="Y414" s="115"/>
      <c r="Z414" s="1"/>
      <c r="AA414" s="1"/>
      <c r="AB414" s="1"/>
      <c r="AC414" s="1"/>
      <c r="AD414" s="1"/>
      <c r="AE414" s="1"/>
      <c r="AF414" s="1"/>
      <c r="AG414" s="174"/>
      <c r="AH414" s="174"/>
      <c r="AI414" s="174"/>
      <c r="AJ414" s="174"/>
      <c r="AK414" s="174"/>
      <c r="AL414" s="174"/>
      <c r="AM414" s="174"/>
      <c r="AN414" s="174"/>
      <c r="AO414" s="174"/>
      <c r="AP414" s="174"/>
      <c r="AQ414" s="174"/>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row>
    <row r="415" spans="1:77" ht="15.75" customHeight="1" x14ac:dyDescent="0.55000000000000004">
      <c r="A415" s="46"/>
      <c r="B415" s="183"/>
      <c r="C415" s="375" t="s">
        <v>489</v>
      </c>
      <c r="D415" s="375"/>
      <c r="E415" s="375"/>
      <c r="F415" s="375"/>
      <c r="G415" s="375"/>
      <c r="H415" s="375"/>
      <c r="I415" s="375"/>
      <c r="J415" s="375"/>
      <c r="K415" s="375"/>
      <c r="L415" s="375"/>
      <c r="M415" s="375"/>
      <c r="N415" s="375"/>
      <c r="O415" s="375"/>
      <c r="P415" s="117" t="s">
        <v>281</v>
      </c>
      <c r="Q415" s="7" t="s">
        <v>292</v>
      </c>
      <c r="R415" s="7"/>
      <c r="S415" s="7"/>
      <c r="T415" s="7"/>
      <c r="U415" s="7"/>
      <c r="V415" s="7"/>
      <c r="W415" s="121"/>
      <c r="X415" s="344">
        <v>0.5</v>
      </c>
      <c r="Y415" s="332"/>
      <c r="AA415" s="1"/>
      <c r="AB415" s="1"/>
      <c r="AC415" s="1"/>
      <c r="AD415" s="1"/>
      <c r="AE415" s="1"/>
      <c r="AF415" s="1"/>
      <c r="AG415" s="174"/>
      <c r="AH415" s="174"/>
      <c r="AI415" s="174"/>
      <c r="AJ415" s="174"/>
      <c r="AK415" s="174"/>
      <c r="AL415" s="174"/>
      <c r="AM415" s="174"/>
      <c r="AN415" s="174"/>
      <c r="AO415" s="174"/>
      <c r="AP415" s="174"/>
      <c r="AQ415" s="174"/>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row>
    <row r="416" spans="1:77" ht="15.75" customHeight="1" x14ac:dyDescent="0.55000000000000004">
      <c r="A416" s="46"/>
      <c r="B416" s="183" t="s">
        <v>75</v>
      </c>
      <c r="C416" s="375"/>
      <c r="D416" s="375"/>
      <c r="E416" s="375"/>
      <c r="F416" s="375"/>
      <c r="G416" s="375"/>
      <c r="H416" s="375"/>
      <c r="I416" s="375"/>
      <c r="J416" s="375"/>
      <c r="K416" s="375"/>
      <c r="L416" s="375"/>
      <c r="M416" s="375"/>
      <c r="N416" s="375"/>
      <c r="O416" s="375"/>
      <c r="P416" s="66"/>
      <c r="W416" s="115"/>
      <c r="X416" s="66"/>
      <c r="Y416" s="115"/>
      <c r="Z416" s="1"/>
      <c r="AA416" s="1"/>
      <c r="AB416" s="1"/>
      <c r="AC416" s="1"/>
      <c r="AD416" s="1"/>
      <c r="AE416" s="1"/>
      <c r="AF416" s="1"/>
      <c r="AG416" s="534"/>
      <c r="AH416" s="534"/>
      <c r="AI416" s="534"/>
      <c r="AJ416" s="534"/>
      <c r="AK416" s="534"/>
      <c r="AL416" s="534"/>
      <c r="AM416" s="534"/>
      <c r="AN416" s="534"/>
      <c r="AO416" s="534"/>
      <c r="AP416" s="534"/>
      <c r="AQ416" s="534"/>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row>
    <row r="417" spans="1:77" ht="15.75" customHeight="1" x14ac:dyDescent="0.55000000000000004">
      <c r="A417" s="46"/>
      <c r="B417" s="183"/>
      <c r="C417" s="375"/>
      <c r="D417" s="375"/>
      <c r="E417" s="375"/>
      <c r="F417" s="375"/>
      <c r="G417" s="375"/>
      <c r="H417" s="375"/>
      <c r="I417" s="375"/>
      <c r="J417" s="375"/>
      <c r="K417" s="375"/>
      <c r="L417" s="375"/>
      <c r="M417" s="375"/>
      <c r="N417" s="375"/>
      <c r="O417" s="375"/>
      <c r="P417" s="156"/>
      <c r="Q417" s="70"/>
      <c r="R417" s="157"/>
      <c r="S417" s="74"/>
      <c r="T417" s="74"/>
      <c r="U417" s="24"/>
      <c r="V417" s="24"/>
      <c r="W417" s="179"/>
      <c r="X417" s="181"/>
      <c r="Y417" s="179"/>
      <c r="Z417" s="1"/>
      <c r="AA417" s="1"/>
      <c r="AB417" s="1"/>
      <c r="AC417" s="1"/>
      <c r="AD417" s="1"/>
      <c r="AE417" s="1"/>
      <c r="AF417" s="1"/>
      <c r="AG417" s="172"/>
      <c r="AH417" s="172"/>
      <c r="AI417" s="172"/>
      <c r="AJ417" s="172"/>
      <c r="AK417" s="172"/>
      <c r="AL417" s="172"/>
      <c r="AM417" s="172"/>
      <c r="AN417" s="172"/>
      <c r="AO417" s="172"/>
      <c r="AP417" s="172"/>
      <c r="AQ417" s="172"/>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row>
    <row r="418" spans="1:77" ht="15.75" customHeight="1" x14ac:dyDescent="0.55000000000000004">
      <c r="A418" s="46"/>
      <c r="B418" s="183"/>
      <c r="C418" s="375" t="s">
        <v>490</v>
      </c>
      <c r="D418" s="375"/>
      <c r="E418" s="375"/>
      <c r="F418" s="375"/>
      <c r="G418" s="375"/>
      <c r="H418" s="375"/>
      <c r="I418" s="375"/>
      <c r="J418" s="375"/>
      <c r="K418" s="375"/>
      <c r="L418" s="375"/>
      <c r="M418" s="375"/>
      <c r="N418" s="375"/>
      <c r="O418" s="375"/>
      <c r="P418" s="156"/>
      <c r="Q418" s="70"/>
      <c r="R418" s="157"/>
      <c r="S418" s="158"/>
      <c r="T418" s="158"/>
      <c r="U418" s="173"/>
      <c r="V418" s="173"/>
      <c r="W418" s="180"/>
      <c r="X418" s="182"/>
      <c r="Y418" s="180"/>
      <c r="Z418" s="1"/>
      <c r="AA418" s="1"/>
      <c r="AB418" s="1"/>
      <c r="AC418" s="1"/>
      <c r="AD418" s="1"/>
      <c r="AE418" s="1"/>
      <c r="AF418" s="1"/>
      <c r="AG418" s="172"/>
      <c r="AH418" s="172"/>
      <c r="AI418" s="172"/>
      <c r="AJ418" s="172"/>
      <c r="AK418" s="172"/>
      <c r="AL418" s="172"/>
      <c r="AM418" s="172"/>
      <c r="AN418" s="172"/>
      <c r="AO418" s="172"/>
      <c r="AP418" s="172"/>
      <c r="AQ418" s="172"/>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row>
    <row r="419" spans="1:77" ht="15.75" customHeight="1" x14ac:dyDescent="0.55000000000000004">
      <c r="A419" s="46"/>
      <c r="B419" s="183" t="s">
        <v>13</v>
      </c>
      <c r="C419" s="375"/>
      <c r="D419" s="375"/>
      <c r="E419" s="375"/>
      <c r="F419" s="375"/>
      <c r="G419" s="375"/>
      <c r="H419" s="375"/>
      <c r="I419" s="375"/>
      <c r="J419" s="375"/>
      <c r="K419" s="375"/>
      <c r="L419" s="375"/>
      <c r="M419" s="375"/>
      <c r="N419" s="375"/>
      <c r="O419" s="375"/>
      <c r="P419" s="66"/>
      <c r="W419" s="115"/>
      <c r="X419" s="66"/>
      <c r="Y419" s="115"/>
      <c r="Z419" s="1"/>
      <c r="AA419" s="1"/>
      <c r="AB419" s="1"/>
      <c r="AC419" s="1"/>
      <c r="AD419" s="1"/>
      <c r="AE419" s="1"/>
      <c r="AF419" s="1"/>
      <c r="AG419" s="326"/>
      <c r="AH419" s="326"/>
      <c r="AI419" s="326"/>
      <c r="AJ419" s="326"/>
      <c r="AK419" s="326"/>
      <c r="AL419" s="326"/>
      <c r="AM419" s="326"/>
      <c r="AN419" s="326"/>
      <c r="AO419" s="326"/>
      <c r="AP419" s="326"/>
      <c r="AQ419" s="326"/>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row>
    <row r="420" spans="1:77" ht="15.75" customHeight="1" x14ac:dyDescent="0.55000000000000004">
      <c r="A420" s="46"/>
      <c r="B420" s="52"/>
      <c r="C420" s="375"/>
      <c r="D420" s="375"/>
      <c r="E420" s="375"/>
      <c r="F420" s="375"/>
      <c r="G420" s="375"/>
      <c r="H420" s="375"/>
      <c r="I420" s="375"/>
      <c r="J420" s="375"/>
      <c r="K420" s="375"/>
      <c r="L420" s="375"/>
      <c r="M420" s="375"/>
      <c r="N420" s="375"/>
      <c r="O420" s="375"/>
      <c r="P420" s="113" t="s">
        <v>282</v>
      </c>
      <c r="Q420" s="370" t="s">
        <v>491</v>
      </c>
      <c r="R420" s="370"/>
      <c r="S420" s="370"/>
      <c r="T420" s="370"/>
      <c r="U420" s="370"/>
      <c r="V420" s="370"/>
      <c r="W420" s="371"/>
      <c r="X420" s="344">
        <v>0</v>
      </c>
      <c r="Y420" s="332"/>
      <c r="Z420" s="1"/>
      <c r="AA420" s="1"/>
      <c r="AB420" s="1"/>
      <c r="AC420" s="1"/>
      <c r="AD420" s="1"/>
      <c r="AE420" s="1"/>
      <c r="AF420" s="1"/>
      <c r="AG420" s="23"/>
      <c r="AH420" s="23"/>
      <c r="AI420" s="23"/>
      <c r="AJ420" s="23"/>
      <c r="AK420" s="23"/>
      <c r="AL420" s="23"/>
      <c r="AM420" s="23"/>
      <c r="AN420" s="23"/>
      <c r="AO420" s="23"/>
      <c r="AP420" s="23"/>
      <c r="AQ420" s="23"/>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row>
    <row r="421" spans="1:77" ht="15.75" customHeight="1" x14ac:dyDescent="0.55000000000000004">
      <c r="A421" s="46"/>
      <c r="B421" s="52"/>
      <c r="C421" s="355" t="s">
        <v>498</v>
      </c>
      <c r="D421" s="355"/>
      <c r="E421" s="355"/>
      <c r="F421" s="355"/>
      <c r="G421" s="355"/>
      <c r="H421" s="355"/>
      <c r="I421" s="355"/>
      <c r="J421" s="355"/>
      <c r="K421" s="355"/>
      <c r="L421" s="355"/>
      <c r="M421" s="355"/>
      <c r="N421" s="355"/>
      <c r="O421" s="413"/>
      <c r="P421" s="113"/>
      <c r="Q421" s="76"/>
      <c r="R421" s="76"/>
      <c r="S421" s="76"/>
      <c r="T421" s="76"/>
      <c r="U421" s="76"/>
      <c r="V421" s="76"/>
      <c r="W421" s="162"/>
      <c r="X421" s="113"/>
      <c r="Y421" s="114"/>
      <c r="Z421" s="1"/>
      <c r="AA421" s="1"/>
      <c r="AB421" s="1"/>
      <c r="AC421" s="1"/>
      <c r="AD421" s="1"/>
      <c r="AE421" s="1"/>
      <c r="AF421" s="1"/>
      <c r="AG421" s="23"/>
      <c r="AH421" s="23"/>
      <c r="AI421" s="23"/>
      <c r="AJ421" s="23"/>
      <c r="AK421" s="23"/>
      <c r="AL421" s="23"/>
      <c r="AM421" s="23"/>
      <c r="AN421" s="23"/>
      <c r="AO421" s="23"/>
      <c r="AP421" s="23"/>
      <c r="AQ421" s="23"/>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row>
    <row r="422" spans="1:77" ht="15.75" customHeight="1" x14ac:dyDescent="0.55000000000000004">
      <c r="A422" s="46"/>
      <c r="B422" s="52" t="s">
        <v>75</v>
      </c>
      <c r="C422" s="374"/>
      <c r="D422" s="374"/>
      <c r="E422" s="374"/>
      <c r="F422" s="374"/>
      <c r="G422" s="374"/>
      <c r="H422" s="374"/>
      <c r="I422" s="374"/>
      <c r="J422" s="374"/>
      <c r="K422" s="374"/>
      <c r="L422" s="374"/>
      <c r="M422" s="374"/>
      <c r="N422" s="374"/>
      <c r="O422" s="414"/>
      <c r="P422" s="113"/>
      <c r="Q422" s="76"/>
      <c r="R422" s="76"/>
      <c r="S422" s="76"/>
      <c r="T422" s="76"/>
      <c r="U422" s="76"/>
      <c r="V422" s="76"/>
      <c r="W422" s="162"/>
      <c r="X422" s="113"/>
      <c r="Y422" s="114"/>
      <c r="Z422" s="1"/>
      <c r="AA422" s="1"/>
      <c r="AB422" s="1"/>
      <c r="AC422" s="1"/>
      <c r="AD422" s="1"/>
      <c r="AE422" s="1"/>
      <c r="AF422" s="1"/>
      <c r="AG422" s="23"/>
      <c r="AH422" s="23"/>
      <c r="AI422" s="23"/>
      <c r="AJ422" s="23"/>
      <c r="AK422" s="23"/>
      <c r="AL422" s="23"/>
      <c r="AM422" s="23"/>
      <c r="AN422" s="23"/>
      <c r="AO422" s="23"/>
      <c r="AP422" s="23"/>
      <c r="AQ422" s="23"/>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row>
    <row r="423" spans="1:77" ht="15.75" customHeight="1" x14ac:dyDescent="0.55000000000000004">
      <c r="A423" s="46"/>
      <c r="B423" s="52"/>
      <c r="C423" s="357"/>
      <c r="D423" s="357"/>
      <c r="E423" s="357"/>
      <c r="F423" s="357"/>
      <c r="G423" s="357"/>
      <c r="H423" s="357"/>
      <c r="I423" s="357"/>
      <c r="J423" s="357"/>
      <c r="K423" s="357"/>
      <c r="L423" s="357"/>
      <c r="M423" s="357"/>
      <c r="N423" s="357"/>
      <c r="O423" s="415"/>
      <c r="P423" s="113"/>
      <c r="Q423" s="76"/>
      <c r="R423" s="76"/>
      <c r="S423" s="76"/>
      <c r="T423" s="76"/>
      <c r="U423" s="76"/>
      <c r="V423" s="76"/>
      <c r="W423" s="162"/>
      <c r="X423" s="113"/>
      <c r="Y423" s="114"/>
      <c r="Z423" s="1"/>
      <c r="AA423" s="1"/>
      <c r="AB423" s="1"/>
      <c r="AC423" s="1"/>
      <c r="AD423" s="1"/>
      <c r="AE423" s="1"/>
      <c r="AF423" s="1"/>
      <c r="AG423" s="23"/>
      <c r="AH423" s="23"/>
      <c r="AI423" s="23"/>
      <c r="AJ423" s="23"/>
      <c r="AK423" s="23"/>
      <c r="AL423" s="23"/>
      <c r="AM423" s="23"/>
      <c r="AN423" s="23"/>
      <c r="AO423" s="23"/>
      <c r="AP423" s="23"/>
      <c r="AQ423" s="23"/>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row>
    <row r="424" spans="1:77" ht="15.75" customHeight="1" x14ac:dyDescent="0.55000000000000004">
      <c r="A424" s="46"/>
      <c r="B424" s="52"/>
      <c r="C424" s="355" t="s">
        <v>499</v>
      </c>
      <c r="D424" s="355"/>
      <c r="E424" s="355"/>
      <c r="F424" s="355"/>
      <c r="G424" s="355"/>
      <c r="H424" s="355"/>
      <c r="I424" s="355"/>
      <c r="J424" s="355"/>
      <c r="K424" s="355"/>
      <c r="L424" s="355"/>
      <c r="M424" s="355"/>
      <c r="N424" s="355"/>
      <c r="O424" s="413"/>
      <c r="P424" s="113"/>
      <c r="Q424" s="76"/>
      <c r="R424" s="76"/>
      <c r="S424" s="76"/>
      <c r="T424" s="76"/>
      <c r="U424" s="76"/>
      <c r="V424" s="76"/>
      <c r="W424" s="162"/>
      <c r="X424" s="113"/>
      <c r="Y424" s="114"/>
      <c r="Z424" s="1"/>
      <c r="AA424" s="1"/>
      <c r="AB424" s="1"/>
      <c r="AC424" s="1"/>
      <c r="AD424" s="1"/>
      <c r="AE424" s="1"/>
      <c r="AF424" s="1"/>
      <c r="AG424" s="23"/>
      <c r="AH424" s="23"/>
      <c r="AI424" s="23"/>
      <c r="AJ424" s="23"/>
      <c r="AK424" s="23"/>
      <c r="AL424" s="23"/>
      <c r="AM424" s="23"/>
      <c r="AN424" s="23"/>
      <c r="AO424" s="23"/>
      <c r="AP424" s="23"/>
      <c r="AQ424" s="23"/>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row>
    <row r="425" spans="1:77" ht="15.75" customHeight="1" x14ac:dyDescent="0.55000000000000004">
      <c r="A425" s="46"/>
      <c r="B425" s="52" t="s">
        <v>75</v>
      </c>
      <c r="C425" s="374"/>
      <c r="D425" s="374"/>
      <c r="E425" s="374"/>
      <c r="F425" s="374"/>
      <c r="G425" s="374"/>
      <c r="H425" s="374"/>
      <c r="I425" s="374"/>
      <c r="J425" s="374"/>
      <c r="K425" s="374"/>
      <c r="L425" s="374"/>
      <c r="M425" s="374"/>
      <c r="N425" s="374"/>
      <c r="O425" s="414"/>
      <c r="P425" s="113"/>
      <c r="Q425" s="76"/>
      <c r="R425" s="76"/>
      <c r="S425" s="76"/>
      <c r="T425" s="76"/>
      <c r="U425" s="76"/>
      <c r="V425" s="76"/>
      <c r="W425" s="162"/>
      <c r="X425" s="113"/>
      <c r="Y425" s="114"/>
      <c r="Z425" s="1"/>
      <c r="AA425" s="1"/>
      <c r="AB425" s="1"/>
      <c r="AC425" s="1"/>
      <c r="AD425" s="1"/>
      <c r="AE425" s="1"/>
      <c r="AF425" s="1"/>
      <c r="AG425" s="23"/>
      <c r="AH425" s="23"/>
      <c r="AI425" s="23"/>
      <c r="AJ425" s="23"/>
      <c r="AK425" s="23"/>
      <c r="AL425" s="23"/>
      <c r="AM425" s="23"/>
      <c r="AN425" s="23"/>
      <c r="AO425" s="23"/>
      <c r="AP425" s="23"/>
      <c r="AQ425" s="23"/>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row>
    <row r="426" spans="1:77" ht="15.75" customHeight="1" x14ac:dyDescent="0.55000000000000004">
      <c r="A426" s="46"/>
      <c r="B426" s="52"/>
      <c r="C426" s="357"/>
      <c r="D426" s="357"/>
      <c r="E426" s="357"/>
      <c r="F426" s="357"/>
      <c r="G426" s="357"/>
      <c r="H426" s="357"/>
      <c r="I426" s="357"/>
      <c r="J426" s="357"/>
      <c r="K426" s="357"/>
      <c r="L426" s="357"/>
      <c r="M426" s="357"/>
      <c r="N426" s="357"/>
      <c r="O426" s="415"/>
      <c r="P426" s="100" t="s">
        <v>282</v>
      </c>
      <c r="Q426" s="345" t="s">
        <v>274</v>
      </c>
      <c r="R426" s="345"/>
      <c r="S426" s="345"/>
      <c r="T426" s="345"/>
      <c r="U426" s="345"/>
      <c r="V426" s="345"/>
      <c r="W426" s="346"/>
      <c r="X426" s="333">
        <v>0</v>
      </c>
      <c r="Y426" s="334"/>
      <c r="Z426" s="1"/>
      <c r="AA426" s="1"/>
      <c r="AB426" s="1"/>
      <c r="AC426" s="1"/>
      <c r="AD426" s="1"/>
      <c r="AE426" s="1"/>
      <c r="AF426" s="1"/>
      <c r="AG426" s="23"/>
      <c r="AH426" s="23"/>
      <c r="AI426" s="23"/>
      <c r="AJ426" s="23"/>
      <c r="AK426" s="23"/>
      <c r="AL426" s="23"/>
      <c r="AM426" s="23"/>
      <c r="AN426" s="23"/>
      <c r="AO426" s="23"/>
      <c r="AP426" s="23"/>
      <c r="AQ426" s="23"/>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row>
    <row r="427" spans="1:77" ht="48" customHeight="1" x14ac:dyDescent="0.55000000000000004">
      <c r="A427" s="46"/>
      <c r="B427" s="553" t="s">
        <v>493</v>
      </c>
      <c r="C427" s="554"/>
      <c r="D427" s="554"/>
      <c r="E427" s="554"/>
      <c r="F427" s="554"/>
      <c r="G427" s="554"/>
      <c r="H427" s="554"/>
      <c r="I427" s="554"/>
      <c r="J427" s="554"/>
      <c r="K427" s="554"/>
      <c r="L427" s="554"/>
      <c r="M427" s="554"/>
      <c r="N427" s="554"/>
      <c r="O427" s="555"/>
      <c r="P427" s="542" t="s">
        <v>50</v>
      </c>
      <c r="Q427" s="543"/>
      <c r="R427" s="543"/>
      <c r="S427" s="543"/>
      <c r="T427" s="543"/>
      <c r="U427" s="543"/>
      <c r="V427" s="543"/>
      <c r="W427" s="543"/>
      <c r="X427" s="431" t="s">
        <v>49</v>
      </c>
      <c r="Y427" s="433"/>
      <c r="Z427" s="1"/>
      <c r="AA427" s="1"/>
      <c r="AB427" s="1"/>
      <c r="AC427" s="1"/>
      <c r="AD427" s="1"/>
      <c r="AE427" s="1"/>
      <c r="AF427" s="1"/>
      <c r="AG427" s="326"/>
      <c r="AH427" s="326"/>
      <c r="AI427" s="326"/>
      <c r="AJ427" s="326"/>
      <c r="AK427" s="326"/>
      <c r="AL427" s="326"/>
      <c r="AM427" s="326"/>
      <c r="AN427" s="326"/>
      <c r="AO427" s="326"/>
      <c r="AP427" s="326"/>
      <c r="AQ427" s="326"/>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row>
    <row r="428" spans="1:77" ht="18.75" customHeight="1" x14ac:dyDescent="0.55000000000000004">
      <c r="A428" s="46"/>
      <c r="B428" s="53"/>
      <c r="C428" s="556" t="s">
        <v>494</v>
      </c>
      <c r="D428" s="557"/>
      <c r="E428" s="557"/>
      <c r="F428" s="557"/>
      <c r="G428" s="557"/>
      <c r="H428" s="557"/>
      <c r="I428" s="557"/>
      <c r="J428" s="557"/>
      <c r="K428" s="557"/>
      <c r="L428" s="557"/>
      <c r="M428" s="557"/>
      <c r="N428" s="557"/>
      <c r="O428" s="558"/>
      <c r="P428" s="120" t="s">
        <v>280</v>
      </c>
      <c r="Q428" s="132" t="s">
        <v>273</v>
      </c>
      <c r="R428" s="132"/>
      <c r="S428" s="132"/>
      <c r="T428" s="132"/>
      <c r="U428" s="132"/>
      <c r="V428" s="132"/>
      <c r="W428" s="133"/>
      <c r="X428" s="343">
        <v>1</v>
      </c>
      <c r="Y428" s="330"/>
      <c r="Z428" s="1"/>
      <c r="AA428" s="1"/>
      <c r="AB428" s="1"/>
      <c r="AC428" s="1"/>
      <c r="AD428" s="1"/>
      <c r="AE428" s="1"/>
      <c r="AF428" s="1"/>
      <c r="AG428" s="538"/>
      <c r="AH428" s="538"/>
      <c r="AI428" s="538"/>
      <c r="AJ428" s="538"/>
      <c r="AK428" s="538"/>
      <c r="AL428" s="538"/>
      <c r="AM428" s="538"/>
      <c r="AN428" s="538"/>
      <c r="AO428" s="538"/>
      <c r="AP428" s="538"/>
      <c r="AQ428" s="538"/>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row>
    <row r="429" spans="1:77" ht="15.75" customHeight="1" x14ac:dyDescent="0.55000000000000004">
      <c r="A429" s="46"/>
      <c r="B429" s="53"/>
      <c r="C429" s="323" t="s">
        <v>496</v>
      </c>
      <c r="D429" s="324"/>
      <c r="E429" s="324"/>
      <c r="F429" s="324"/>
      <c r="G429" s="324"/>
      <c r="H429" s="324"/>
      <c r="I429" s="324"/>
      <c r="J429" s="324"/>
      <c r="K429" s="324"/>
      <c r="L429" s="324"/>
      <c r="M429" s="324"/>
      <c r="N429" s="324"/>
      <c r="O429" s="384"/>
      <c r="P429" s="156"/>
      <c r="Q429" s="70"/>
      <c r="R429" s="157"/>
      <c r="S429" s="158"/>
      <c r="T429" s="158"/>
      <c r="U429" s="2"/>
      <c r="V429" s="2"/>
      <c r="W429" s="161"/>
      <c r="X429" s="160"/>
      <c r="Y429" s="161"/>
      <c r="Z429" s="1"/>
      <c r="AA429" s="1"/>
      <c r="AB429" s="1"/>
      <c r="AC429" s="1"/>
      <c r="AD429" s="1"/>
      <c r="AE429" s="1"/>
      <c r="AF429" s="1"/>
      <c r="AG429" s="534"/>
      <c r="AH429" s="534"/>
      <c r="AI429" s="534"/>
      <c r="AJ429" s="534"/>
      <c r="AK429" s="534"/>
      <c r="AL429" s="534"/>
      <c r="AM429" s="534"/>
      <c r="AN429" s="534"/>
      <c r="AO429" s="534"/>
      <c r="AP429" s="534"/>
      <c r="AQ429" s="534"/>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row>
    <row r="430" spans="1:77" ht="17.399999999999999" x14ac:dyDescent="0.55000000000000004">
      <c r="A430" s="46"/>
      <c r="B430" s="53"/>
      <c r="C430" s="327"/>
      <c r="D430" s="328"/>
      <c r="E430" s="328"/>
      <c r="F430" s="328"/>
      <c r="G430" s="328"/>
      <c r="H430" s="328"/>
      <c r="I430" s="328"/>
      <c r="J430" s="328"/>
      <c r="K430" s="328"/>
      <c r="L430" s="328"/>
      <c r="M430" s="328"/>
      <c r="N430" s="328"/>
      <c r="O430" s="342"/>
      <c r="P430" s="66"/>
      <c r="W430" s="115"/>
      <c r="X430" s="66"/>
      <c r="Y430" s="115"/>
      <c r="Z430" s="1"/>
      <c r="AA430" s="1"/>
      <c r="AB430" s="1"/>
      <c r="AC430" s="1"/>
      <c r="AD430" s="1"/>
      <c r="AE430" s="1"/>
      <c r="AF430" s="1"/>
      <c r="AG430" s="172"/>
      <c r="AH430" s="172"/>
      <c r="AI430" s="172"/>
      <c r="AJ430" s="172"/>
      <c r="AK430" s="172"/>
      <c r="AL430" s="172"/>
      <c r="AM430" s="172"/>
      <c r="AN430" s="172"/>
      <c r="AO430" s="172"/>
      <c r="AP430" s="172"/>
      <c r="AQ430" s="172"/>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row>
    <row r="431" spans="1:77" ht="15.75" customHeight="1" x14ac:dyDescent="0.55000000000000004">
      <c r="A431" s="46"/>
      <c r="B431" s="53"/>
      <c r="C431" s="323" t="s">
        <v>495</v>
      </c>
      <c r="D431" s="324"/>
      <c r="E431" s="324"/>
      <c r="F431" s="324"/>
      <c r="G431" s="324"/>
      <c r="H431" s="324"/>
      <c r="I431" s="324"/>
      <c r="J431" s="324"/>
      <c r="K431" s="324"/>
      <c r="L431" s="324"/>
      <c r="M431" s="324"/>
      <c r="N431" s="324"/>
      <c r="O431" s="384"/>
      <c r="P431" s="117" t="s">
        <v>281</v>
      </c>
      <c r="Q431" s="7" t="s">
        <v>292</v>
      </c>
      <c r="R431" s="7"/>
      <c r="S431" s="7"/>
      <c r="T431" s="7"/>
      <c r="U431" s="7"/>
      <c r="V431" s="7"/>
      <c r="W431" s="121"/>
      <c r="X431" s="344">
        <v>0.5</v>
      </c>
      <c r="Y431" s="332"/>
      <c r="Z431" s="1"/>
      <c r="AA431" s="1"/>
      <c r="AB431" s="1"/>
      <c r="AC431" s="1"/>
      <c r="AD431" s="1"/>
      <c r="AE431" s="1"/>
      <c r="AF431" s="1"/>
      <c r="AG431" s="172"/>
      <c r="AH431" s="172"/>
      <c r="AI431" s="172"/>
      <c r="AJ431" s="172"/>
      <c r="AK431" s="172"/>
      <c r="AL431" s="172"/>
      <c r="AM431" s="172"/>
      <c r="AN431" s="172"/>
      <c r="AO431" s="172"/>
      <c r="AP431" s="172"/>
      <c r="AQ431" s="172"/>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row>
    <row r="432" spans="1:77" ht="15.75" customHeight="1" x14ac:dyDescent="0.55000000000000004">
      <c r="A432" s="46"/>
      <c r="B432" s="53"/>
      <c r="C432" s="327"/>
      <c r="D432" s="328"/>
      <c r="E432" s="328"/>
      <c r="F432" s="328"/>
      <c r="G432" s="328"/>
      <c r="H432" s="328"/>
      <c r="I432" s="328"/>
      <c r="J432" s="328"/>
      <c r="K432" s="328"/>
      <c r="L432" s="328"/>
      <c r="M432" s="328"/>
      <c r="N432" s="328"/>
      <c r="O432" s="342"/>
      <c r="P432" s="156"/>
      <c r="Q432" s="70"/>
      <c r="R432" s="157"/>
      <c r="S432" s="158"/>
      <c r="T432" s="158"/>
      <c r="U432" s="2"/>
      <c r="V432" s="2"/>
      <c r="W432" s="161"/>
      <c r="X432" s="160"/>
      <c r="Y432" s="161"/>
      <c r="Z432" s="1"/>
      <c r="AA432" s="1"/>
      <c r="AB432" s="1"/>
      <c r="AC432" s="1"/>
      <c r="AD432" s="1"/>
      <c r="AE432" s="1"/>
      <c r="AF432" s="1"/>
      <c r="AG432" s="172"/>
      <c r="AH432" s="172"/>
      <c r="AI432" s="172"/>
      <c r="AJ432" s="172"/>
      <c r="AK432" s="172"/>
      <c r="AL432" s="172"/>
      <c r="AM432" s="172"/>
      <c r="AN432" s="172"/>
      <c r="AO432" s="172"/>
      <c r="AP432" s="172"/>
      <c r="AQ432" s="172"/>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row>
    <row r="433" spans="1:77" ht="15.75" customHeight="1" x14ac:dyDescent="0.55000000000000004">
      <c r="A433" s="46"/>
      <c r="B433" s="53"/>
      <c r="C433" s="324" t="s">
        <v>497</v>
      </c>
      <c r="D433" s="324"/>
      <c r="E433" s="324"/>
      <c r="F433" s="324"/>
      <c r="G433" s="324"/>
      <c r="H433" s="324"/>
      <c r="I433" s="324"/>
      <c r="J433" s="324"/>
      <c r="K433" s="324"/>
      <c r="L433" s="324"/>
      <c r="M433" s="324"/>
      <c r="N433" s="324"/>
      <c r="O433" s="384"/>
      <c r="P433" s="66"/>
      <c r="W433" s="115"/>
      <c r="X433" s="66"/>
      <c r="Y433" s="115"/>
      <c r="Z433" s="1"/>
      <c r="AA433" s="1"/>
      <c r="AB433" s="1"/>
      <c r="AC433" s="1"/>
      <c r="AD433" s="1"/>
      <c r="AE433" s="1"/>
      <c r="AF433" s="1"/>
      <c r="AG433" s="370"/>
      <c r="AH433" s="370"/>
      <c r="AI433" s="370"/>
      <c r="AJ433" s="370"/>
      <c r="AK433" s="370"/>
      <c r="AL433" s="370"/>
      <c r="AM433" s="370"/>
      <c r="AN433" s="370"/>
      <c r="AO433" s="370"/>
      <c r="AP433" s="370"/>
      <c r="AQ433" s="370"/>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row>
    <row r="434" spans="1:77" ht="15.75" customHeight="1" x14ac:dyDescent="0.55000000000000004">
      <c r="A434" s="46"/>
      <c r="B434" s="53"/>
      <c r="C434" s="328"/>
      <c r="D434" s="328"/>
      <c r="E434" s="328"/>
      <c r="F434" s="328"/>
      <c r="G434" s="328"/>
      <c r="H434" s="328"/>
      <c r="I434" s="328"/>
      <c r="J434" s="328"/>
      <c r="K434" s="328"/>
      <c r="L434" s="328"/>
      <c r="M434" s="328"/>
      <c r="N434" s="328"/>
      <c r="O434" s="342"/>
      <c r="P434" s="100" t="s">
        <v>282</v>
      </c>
      <c r="Q434" s="345" t="s">
        <v>274</v>
      </c>
      <c r="R434" s="345"/>
      <c r="S434" s="345"/>
      <c r="T434" s="345"/>
      <c r="U434" s="345"/>
      <c r="V434" s="345"/>
      <c r="W434" s="346"/>
      <c r="X434" s="333">
        <v>0</v>
      </c>
      <c r="Y434" s="334"/>
      <c r="Z434" s="1"/>
      <c r="AA434" s="1"/>
      <c r="AB434" s="1"/>
      <c r="AC434" s="1"/>
      <c r="AD434" s="1"/>
      <c r="AE434" s="1"/>
      <c r="AF434" s="1"/>
      <c r="AG434" s="537"/>
      <c r="AH434" s="537"/>
      <c r="AI434" s="537"/>
      <c r="AJ434" s="537"/>
      <c r="AK434" s="537"/>
      <c r="AL434" s="537"/>
      <c r="AM434" s="537"/>
      <c r="AN434" s="537"/>
      <c r="AO434" s="537"/>
      <c r="AP434" s="537"/>
      <c r="AQ434" s="537"/>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row>
    <row r="435" spans="1:77" ht="15.3" x14ac:dyDescent="0.55000000000000004">
      <c r="A435" s="485"/>
      <c r="B435" s="550"/>
      <c r="C435" s="550"/>
      <c r="D435" s="550"/>
      <c r="E435" s="550"/>
      <c r="F435" s="550"/>
      <c r="G435" s="550"/>
      <c r="H435" s="550"/>
      <c r="I435" s="550"/>
      <c r="J435" s="550"/>
      <c r="K435" s="550"/>
      <c r="L435" s="550"/>
      <c r="M435" s="550"/>
      <c r="N435" s="550"/>
      <c r="O435" s="550"/>
      <c r="P435" s="550"/>
      <c r="Q435" s="550"/>
      <c r="R435" s="550"/>
      <c r="S435" s="550"/>
      <c r="T435" s="550"/>
      <c r="U435" s="550"/>
      <c r="V435" s="550"/>
      <c r="W435" s="550"/>
      <c r="X435" s="550"/>
      <c r="Y435" s="55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row>
    <row r="436" spans="1:77" ht="18.75" customHeight="1" x14ac:dyDescent="0.55000000000000004">
      <c r="A436" s="552" t="s">
        <v>113</v>
      </c>
      <c r="B436" s="552"/>
      <c r="C436" s="552"/>
      <c r="D436" s="552"/>
      <c r="E436" s="552"/>
      <c r="F436" s="552"/>
      <c r="G436" s="552"/>
      <c r="H436" s="552"/>
      <c r="I436" s="552"/>
      <c r="J436" s="552"/>
      <c r="K436" s="552"/>
      <c r="L436" s="552"/>
      <c r="M436" s="552"/>
      <c r="N436" s="552"/>
      <c r="O436" s="552"/>
      <c r="P436" s="552"/>
      <c r="Q436" s="552"/>
      <c r="R436" s="552"/>
      <c r="S436" s="552"/>
      <c r="T436" s="552"/>
      <c r="U436" s="552"/>
      <c r="V436" s="552"/>
      <c r="W436" s="552"/>
      <c r="X436" s="552"/>
      <c r="Y436" s="552"/>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row>
    <row r="437" spans="1:77" ht="17.399999999999999" x14ac:dyDescent="0.55000000000000004">
      <c r="A437" s="367" t="s">
        <v>501</v>
      </c>
      <c r="B437" s="547"/>
      <c r="C437" s="547"/>
      <c r="D437" s="547"/>
      <c r="E437" s="547"/>
      <c r="F437" s="547"/>
      <c r="G437" s="547"/>
      <c r="H437" s="547"/>
      <c r="I437" s="547"/>
      <c r="J437" s="547"/>
      <c r="K437" s="547"/>
      <c r="L437" s="547"/>
      <c r="M437" s="547"/>
      <c r="N437" s="547"/>
      <c r="O437" s="548"/>
      <c r="P437" s="363" t="s">
        <v>50</v>
      </c>
      <c r="Q437" s="364"/>
      <c r="R437" s="364"/>
      <c r="S437" s="364"/>
      <c r="T437" s="364"/>
      <c r="U437" s="364"/>
      <c r="V437" s="364"/>
      <c r="W437" s="364"/>
      <c r="X437" s="365" t="s">
        <v>49</v>
      </c>
      <c r="Y437" s="366"/>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row>
    <row r="438" spans="1:77" ht="15.75" customHeight="1" x14ac:dyDescent="0.55000000000000004">
      <c r="A438" s="183" t="s">
        <v>75</v>
      </c>
      <c r="B438" s="470" t="s">
        <v>502</v>
      </c>
      <c r="C438" s="470"/>
      <c r="D438" s="470"/>
      <c r="E438" s="470"/>
      <c r="F438" s="470"/>
      <c r="G438" s="470"/>
      <c r="H438" s="470"/>
      <c r="I438" s="470"/>
      <c r="J438" s="470"/>
      <c r="K438" s="470"/>
      <c r="L438" s="470"/>
      <c r="M438" s="470"/>
      <c r="N438" s="470"/>
      <c r="O438" s="549"/>
      <c r="P438" s="120" t="s">
        <v>280</v>
      </c>
      <c r="Q438" s="132" t="s">
        <v>273</v>
      </c>
      <c r="R438" s="132"/>
      <c r="S438" s="132"/>
      <c r="T438" s="132"/>
      <c r="U438" s="132"/>
      <c r="V438" s="132"/>
      <c r="W438" s="133"/>
      <c r="X438" s="343">
        <v>1</v>
      </c>
      <c r="Y438" s="330"/>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row>
    <row r="439" spans="1:77" ht="15.75" customHeight="1" x14ac:dyDescent="0.55000000000000004">
      <c r="A439" s="183" t="s">
        <v>72</v>
      </c>
      <c r="B439" s="470" t="s">
        <v>503</v>
      </c>
      <c r="C439" s="470"/>
      <c r="D439" s="470"/>
      <c r="E439" s="470"/>
      <c r="F439" s="470"/>
      <c r="G439" s="470"/>
      <c r="H439" s="470"/>
      <c r="I439" s="470"/>
      <c r="J439" s="470"/>
      <c r="K439" s="470"/>
      <c r="L439" s="470"/>
      <c r="M439" s="470"/>
      <c r="N439" s="470"/>
      <c r="O439" s="549"/>
      <c r="P439" s="344" t="s">
        <v>281</v>
      </c>
      <c r="Q439" s="372" t="s">
        <v>513</v>
      </c>
      <c r="R439" s="372"/>
      <c r="S439" s="372"/>
      <c r="T439" s="372"/>
      <c r="U439" s="372"/>
      <c r="V439" s="372"/>
      <c r="W439" s="373"/>
      <c r="X439" s="344">
        <v>0.5</v>
      </c>
      <c r="Y439" s="332"/>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row>
    <row r="440" spans="1:77" ht="15.75" customHeight="1" x14ac:dyDescent="0.55000000000000004">
      <c r="A440" s="183" t="s">
        <v>75</v>
      </c>
      <c r="B440" s="470" t="s">
        <v>504</v>
      </c>
      <c r="C440" s="470"/>
      <c r="D440" s="470"/>
      <c r="E440" s="470"/>
      <c r="F440" s="470"/>
      <c r="G440" s="470"/>
      <c r="H440" s="470"/>
      <c r="I440" s="470"/>
      <c r="J440" s="470"/>
      <c r="K440" s="470"/>
      <c r="L440" s="470"/>
      <c r="M440" s="470"/>
      <c r="N440" s="470"/>
      <c r="O440" s="549"/>
      <c r="P440" s="344"/>
      <c r="Q440" s="372"/>
      <c r="R440" s="372"/>
      <c r="S440" s="372"/>
      <c r="T440" s="372"/>
      <c r="U440" s="372"/>
      <c r="V440" s="372"/>
      <c r="W440" s="373"/>
      <c r="X440" s="344"/>
      <c r="Y440" s="332"/>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row>
    <row r="441" spans="1:77" ht="15.75" customHeight="1" x14ac:dyDescent="0.55000000000000004">
      <c r="A441" s="183" t="s">
        <v>75</v>
      </c>
      <c r="B441" s="470" t="s">
        <v>505</v>
      </c>
      <c r="C441" s="470"/>
      <c r="D441" s="470"/>
      <c r="E441" s="470"/>
      <c r="F441" s="470"/>
      <c r="G441" s="470"/>
      <c r="H441" s="470"/>
      <c r="I441" s="470"/>
      <c r="J441" s="470"/>
      <c r="K441" s="470"/>
      <c r="L441" s="470"/>
      <c r="M441" s="470"/>
      <c r="N441" s="470"/>
      <c r="O441" s="549"/>
      <c r="P441" s="113" t="s">
        <v>282</v>
      </c>
      <c r="Q441" s="538" t="s">
        <v>514</v>
      </c>
      <c r="R441" s="538"/>
      <c r="S441" s="538"/>
      <c r="T441" s="538"/>
      <c r="U441" s="538"/>
      <c r="V441" s="538"/>
      <c r="W441" s="641"/>
      <c r="X441" s="344">
        <v>0</v>
      </c>
      <c r="Y441" s="332"/>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row>
    <row r="442" spans="1:77" ht="15.75" customHeight="1" x14ac:dyDescent="0.55000000000000004">
      <c r="A442" s="183" t="s">
        <v>13</v>
      </c>
      <c r="B442" s="470" t="s">
        <v>506</v>
      </c>
      <c r="C442" s="470"/>
      <c r="D442" s="470"/>
      <c r="E442" s="470"/>
      <c r="F442" s="470"/>
      <c r="G442" s="470"/>
      <c r="H442" s="470"/>
      <c r="I442" s="470"/>
      <c r="J442" s="470"/>
      <c r="K442" s="470"/>
      <c r="L442" s="470"/>
      <c r="M442" s="470"/>
      <c r="N442" s="470"/>
      <c r="O442" s="549"/>
      <c r="P442" s="66"/>
      <c r="W442" s="115"/>
      <c r="X442" s="66"/>
      <c r="Y442" s="115"/>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row>
    <row r="443" spans="1:77" ht="15.75" customHeight="1" x14ac:dyDescent="0.55000000000000004">
      <c r="A443" s="183" t="s">
        <v>75</v>
      </c>
      <c r="B443" s="470" t="s">
        <v>507</v>
      </c>
      <c r="C443" s="470"/>
      <c r="D443" s="470"/>
      <c r="E443" s="470"/>
      <c r="F443" s="470"/>
      <c r="G443" s="470"/>
      <c r="H443" s="470"/>
      <c r="I443" s="470"/>
      <c r="J443" s="470"/>
      <c r="K443" s="470"/>
      <c r="L443" s="470"/>
      <c r="M443" s="470"/>
      <c r="N443" s="470"/>
      <c r="O443" s="549"/>
      <c r="P443" s="113" t="s">
        <v>282</v>
      </c>
      <c r="Q443" s="538" t="s">
        <v>515</v>
      </c>
      <c r="R443" s="538"/>
      <c r="S443" s="538"/>
      <c r="T443" s="538"/>
      <c r="U443" s="538"/>
      <c r="V443" s="538"/>
      <c r="W443" s="641"/>
      <c r="X443" s="344">
        <v>0</v>
      </c>
      <c r="Y443" s="332"/>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row>
    <row r="444" spans="1:77" ht="15.75" customHeight="1" x14ac:dyDescent="0.55000000000000004">
      <c r="A444" s="183" t="s">
        <v>13</v>
      </c>
      <c r="B444" s="470" t="s">
        <v>508</v>
      </c>
      <c r="C444" s="470"/>
      <c r="D444" s="470"/>
      <c r="E444" s="470"/>
      <c r="F444" s="470"/>
      <c r="G444" s="470"/>
      <c r="H444" s="470"/>
      <c r="I444" s="470"/>
      <c r="J444" s="470"/>
      <c r="K444" s="470"/>
      <c r="L444" s="470"/>
      <c r="M444" s="470"/>
      <c r="N444" s="470"/>
      <c r="O444" s="549"/>
      <c r="P444" s="66"/>
      <c r="W444" s="115"/>
      <c r="X444" s="66"/>
      <c r="Y444" s="115"/>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row>
    <row r="445" spans="1:77" ht="15.75" customHeight="1" x14ac:dyDescent="0.55000000000000004">
      <c r="A445" s="183" t="s">
        <v>75</v>
      </c>
      <c r="B445" s="470" t="s">
        <v>509</v>
      </c>
      <c r="C445" s="470"/>
      <c r="D445" s="470"/>
      <c r="E445" s="470"/>
      <c r="F445" s="470"/>
      <c r="G445" s="470"/>
      <c r="H445" s="470"/>
      <c r="I445" s="470"/>
      <c r="J445" s="470"/>
      <c r="K445" s="470"/>
      <c r="L445" s="470"/>
      <c r="M445" s="470"/>
      <c r="N445" s="470"/>
      <c r="O445" s="549"/>
      <c r="P445" s="113" t="s">
        <v>282</v>
      </c>
      <c r="Q445" s="370" t="s">
        <v>516</v>
      </c>
      <c r="R445" s="370"/>
      <c r="S445" s="370"/>
      <c r="T445" s="370"/>
      <c r="U445" s="370"/>
      <c r="V445" s="370"/>
      <c r="W445" s="371"/>
      <c r="X445" s="344">
        <v>0</v>
      </c>
      <c r="Y445" s="332"/>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row>
    <row r="446" spans="1:77" ht="15.75" customHeight="1" x14ac:dyDescent="0.55000000000000004">
      <c r="A446" s="183" t="s">
        <v>13</v>
      </c>
      <c r="B446" s="470" t="s">
        <v>510</v>
      </c>
      <c r="C446" s="470"/>
      <c r="D446" s="470"/>
      <c r="E446" s="470"/>
      <c r="F446" s="470"/>
      <c r="G446" s="470"/>
      <c r="H446" s="470"/>
      <c r="I446" s="470"/>
      <c r="J446" s="470"/>
      <c r="K446" s="470"/>
      <c r="L446" s="470"/>
      <c r="M446" s="470"/>
      <c r="N446" s="470"/>
      <c r="O446" s="549"/>
      <c r="P446" s="66"/>
      <c r="W446" s="115"/>
      <c r="X446" s="66"/>
      <c r="Y446" s="115"/>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row>
    <row r="447" spans="1:77" ht="15.75" customHeight="1" x14ac:dyDescent="0.55000000000000004">
      <c r="A447" s="183" t="s">
        <v>13</v>
      </c>
      <c r="B447" s="470" t="s">
        <v>511</v>
      </c>
      <c r="C447" s="470"/>
      <c r="D447" s="470"/>
      <c r="E447" s="470"/>
      <c r="F447" s="470"/>
      <c r="G447" s="470"/>
      <c r="H447" s="470"/>
      <c r="I447" s="470"/>
      <c r="J447" s="470"/>
      <c r="K447" s="470"/>
      <c r="L447" s="470"/>
      <c r="M447" s="470"/>
      <c r="N447" s="470"/>
      <c r="O447" s="549"/>
      <c r="P447" s="113" t="s">
        <v>282</v>
      </c>
      <c r="Q447" s="370" t="s">
        <v>517</v>
      </c>
      <c r="R447" s="370"/>
      <c r="S447" s="370"/>
      <c r="T447" s="370"/>
      <c r="U447" s="370"/>
      <c r="V447" s="370"/>
      <c r="W447" s="371"/>
      <c r="X447" s="344">
        <v>0</v>
      </c>
      <c r="Y447" s="332"/>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row>
    <row r="448" spans="1:77" ht="15.75" customHeight="1" x14ac:dyDescent="0.55000000000000004">
      <c r="A448" s="183" t="s">
        <v>72</v>
      </c>
      <c r="B448" s="635" t="s">
        <v>512</v>
      </c>
      <c r="C448" s="635"/>
      <c r="D448" s="635"/>
      <c r="E448" s="635"/>
      <c r="F448" s="635"/>
      <c r="G448" s="635"/>
      <c r="H448" s="635"/>
      <c r="I448" s="635"/>
      <c r="J448" s="635"/>
      <c r="K448" s="635"/>
      <c r="L448" s="635"/>
      <c r="M448" s="635"/>
      <c r="N448" s="635"/>
      <c r="O448" s="636"/>
      <c r="P448" s="344" t="s">
        <v>282</v>
      </c>
      <c r="Q448" s="639" t="s">
        <v>274</v>
      </c>
      <c r="R448" s="639"/>
      <c r="S448" s="639"/>
      <c r="T448" s="639"/>
      <c r="U448" s="639"/>
      <c r="V448" s="639"/>
      <c r="W448" s="640"/>
      <c r="X448" s="344">
        <v>0</v>
      </c>
      <c r="Y448" s="332"/>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row>
    <row r="449" spans="1:77" ht="15.75" customHeight="1" x14ac:dyDescent="0.55000000000000004">
      <c r="A449" s="183"/>
      <c r="B449" s="637"/>
      <c r="C449" s="637"/>
      <c r="D449" s="637"/>
      <c r="E449" s="637"/>
      <c r="F449" s="637"/>
      <c r="G449" s="637"/>
      <c r="H449" s="637"/>
      <c r="I449" s="637"/>
      <c r="J449" s="637"/>
      <c r="K449" s="637"/>
      <c r="L449" s="637"/>
      <c r="M449" s="637"/>
      <c r="N449" s="637"/>
      <c r="O449" s="638"/>
      <c r="P449" s="333"/>
      <c r="Q449" s="637"/>
      <c r="R449" s="637"/>
      <c r="S449" s="637"/>
      <c r="T449" s="637"/>
      <c r="U449" s="637"/>
      <c r="V449" s="637"/>
      <c r="W449" s="638"/>
      <c r="X449" s="333"/>
      <c r="Y449" s="334"/>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row>
    <row r="450" spans="1:77" ht="15.3" x14ac:dyDescent="0.55000000000000004">
      <c r="A450" s="484"/>
      <c r="B450" s="484"/>
      <c r="C450" s="484"/>
      <c r="D450" s="484"/>
      <c r="E450" s="484"/>
      <c r="F450" s="484"/>
      <c r="G450" s="484"/>
      <c r="H450" s="484"/>
      <c r="I450" s="484"/>
      <c r="J450" s="484"/>
      <c r="K450" s="484"/>
      <c r="L450" s="484"/>
      <c r="M450" s="484"/>
      <c r="N450" s="484"/>
      <c r="O450" s="484"/>
      <c r="P450" s="484"/>
      <c r="Q450" s="484"/>
      <c r="R450" s="484"/>
      <c r="S450" s="484"/>
      <c r="T450" s="484"/>
      <c r="U450" s="484"/>
      <c r="V450" s="484"/>
      <c r="W450" s="484"/>
      <c r="X450" s="484"/>
      <c r="Y450" s="484"/>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row>
    <row r="451" spans="1:77" ht="17.399999999999999" x14ac:dyDescent="0.55000000000000004">
      <c r="A451" s="559" t="s">
        <v>114</v>
      </c>
      <c r="B451" s="388"/>
      <c r="C451" s="388"/>
      <c r="D451" s="388"/>
      <c r="E451" s="388"/>
      <c r="F451" s="388"/>
      <c r="G451" s="388"/>
      <c r="H451" s="388"/>
      <c r="I451" s="388"/>
      <c r="J451" s="388"/>
      <c r="K451" s="388"/>
      <c r="L451" s="388"/>
      <c r="M451" s="388"/>
      <c r="N451" s="388"/>
      <c r="O451" s="388"/>
      <c r="P451" s="560" t="s">
        <v>50</v>
      </c>
      <c r="Q451" s="561"/>
      <c r="R451" s="561"/>
      <c r="S451" s="561"/>
      <c r="T451" s="561"/>
      <c r="U451" s="561"/>
      <c r="V451" s="561"/>
      <c r="W451" s="561"/>
      <c r="X451" s="562" t="s">
        <v>49</v>
      </c>
      <c r="Y451" s="563"/>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row>
    <row r="452" spans="1:77" ht="15.75" customHeight="1" x14ac:dyDescent="0.55000000000000004">
      <c r="A452" s="54"/>
      <c r="B452" s="310" t="s">
        <v>519</v>
      </c>
      <c r="C452" s="310"/>
      <c r="D452" s="310"/>
      <c r="E452" s="310"/>
      <c r="F452" s="310"/>
      <c r="G452" s="310"/>
      <c r="H452" s="310"/>
      <c r="I452" s="310"/>
      <c r="J452" s="310"/>
      <c r="K452" s="310"/>
      <c r="L452" s="310"/>
      <c r="M452" s="310"/>
      <c r="N452" s="310"/>
      <c r="O452" s="440"/>
      <c r="P452" s="120" t="s">
        <v>280</v>
      </c>
      <c r="Q452" s="132" t="s">
        <v>273</v>
      </c>
      <c r="R452" s="132"/>
      <c r="S452" s="132"/>
      <c r="T452" s="132"/>
      <c r="U452" s="132"/>
      <c r="V452" s="132"/>
      <c r="W452" s="133"/>
      <c r="X452" s="329">
        <v>1</v>
      </c>
      <c r="Y452" s="330"/>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row>
    <row r="453" spans="1:77" ht="15.75" customHeight="1" x14ac:dyDescent="0.55000000000000004">
      <c r="A453" s="54"/>
      <c r="B453" s="310"/>
      <c r="C453" s="310"/>
      <c r="D453" s="310"/>
      <c r="E453" s="310"/>
      <c r="F453" s="310"/>
      <c r="G453" s="310"/>
      <c r="H453" s="310"/>
      <c r="I453" s="310"/>
      <c r="J453" s="310"/>
      <c r="K453" s="310"/>
      <c r="L453" s="310"/>
      <c r="M453" s="310"/>
      <c r="N453" s="310"/>
      <c r="O453" s="440"/>
      <c r="P453" s="156"/>
      <c r="Q453" s="70"/>
      <c r="R453" s="157"/>
      <c r="S453" s="158"/>
      <c r="T453" s="158"/>
      <c r="U453" s="2"/>
      <c r="V453" s="2"/>
      <c r="W453" s="161"/>
      <c r="X453" s="2"/>
      <c r="Y453" s="16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row>
    <row r="454" spans="1:77" ht="15.75" customHeight="1" x14ac:dyDescent="0.55000000000000004">
      <c r="A454" s="54"/>
      <c r="B454" s="310"/>
      <c r="C454" s="310"/>
      <c r="D454" s="310"/>
      <c r="E454" s="310"/>
      <c r="F454" s="310"/>
      <c r="G454" s="310"/>
      <c r="H454" s="310"/>
      <c r="I454" s="310"/>
      <c r="J454" s="310"/>
      <c r="K454" s="310"/>
      <c r="L454" s="310"/>
      <c r="M454" s="310"/>
      <c r="N454" s="310"/>
      <c r="O454" s="440"/>
      <c r="P454" s="66"/>
      <c r="W454" s="115"/>
      <c r="Y454" s="115"/>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row>
    <row r="455" spans="1:77" ht="15.75" customHeight="1" x14ac:dyDescent="0.55000000000000004">
      <c r="A455" s="54"/>
      <c r="B455" s="310" t="s">
        <v>520</v>
      </c>
      <c r="C455" s="310"/>
      <c r="D455" s="310"/>
      <c r="E455" s="310"/>
      <c r="F455" s="310"/>
      <c r="G455" s="310"/>
      <c r="H455" s="310"/>
      <c r="I455" s="310"/>
      <c r="J455" s="310"/>
      <c r="K455" s="310"/>
      <c r="L455" s="310"/>
      <c r="M455" s="310"/>
      <c r="N455" s="310"/>
      <c r="O455" s="440"/>
      <c r="P455" s="66"/>
      <c r="W455" s="115"/>
      <c r="Y455" s="115"/>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row>
    <row r="456" spans="1:77" ht="15.75" customHeight="1" x14ac:dyDescent="0.55000000000000004">
      <c r="A456" s="54"/>
      <c r="B456" s="310"/>
      <c r="C456" s="310"/>
      <c r="D456" s="310"/>
      <c r="E456" s="310"/>
      <c r="F456" s="310"/>
      <c r="G456" s="310"/>
      <c r="H456" s="310"/>
      <c r="I456" s="310"/>
      <c r="J456" s="310"/>
      <c r="K456" s="310"/>
      <c r="L456" s="310"/>
      <c r="M456" s="310"/>
      <c r="N456" s="310"/>
      <c r="O456" s="440"/>
      <c r="P456" s="156"/>
      <c r="Q456" s="70"/>
      <c r="R456" s="157"/>
      <c r="S456" s="158"/>
      <c r="T456" s="158"/>
      <c r="U456" s="2"/>
      <c r="V456" s="2"/>
      <c r="W456" s="161"/>
      <c r="X456" s="2"/>
      <c r="Y456" s="16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row>
    <row r="457" spans="1:77" ht="15.75" customHeight="1" x14ac:dyDescent="0.55000000000000004">
      <c r="A457" s="54"/>
      <c r="B457" s="476" t="s">
        <v>521</v>
      </c>
      <c r="C457" s="476"/>
      <c r="D457" s="476"/>
      <c r="E457" s="476"/>
      <c r="F457" s="476"/>
      <c r="G457" s="476"/>
      <c r="H457" s="476"/>
      <c r="I457" s="476"/>
      <c r="J457" s="476"/>
      <c r="K457" s="476"/>
      <c r="L457" s="476"/>
      <c r="M457" s="476"/>
      <c r="N457" s="476"/>
      <c r="O457" s="477"/>
      <c r="P457" s="66"/>
      <c r="W457" s="115"/>
      <c r="Y457" s="115"/>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row>
    <row r="458" spans="1:77" ht="15.75" customHeight="1" x14ac:dyDescent="0.55000000000000004">
      <c r="A458" s="54"/>
      <c r="B458" s="476"/>
      <c r="C458" s="476"/>
      <c r="D458" s="476"/>
      <c r="E458" s="476"/>
      <c r="F458" s="476"/>
      <c r="G458" s="476"/>
      <c r="H458" s="476"/>
      <c r="I458" s="476"/>
      <c r="J458" s="476"/>
      <c r="K458" s="476"/>
      <c r="L458" s="476"/>
      <c r="M458" s="476"/>
      <c r="N458" s="476"/>
      <c r="O458" s="477"/>
      <c r="P458" s="66"/>
      <c r="W458" s="115"/>
      <c r="Y458" s="115"/>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row>
    <row r="459" spans="1:77" ht="15.75" customHeight="1" x14ac:dyDescent="0.55000000000000004">
      <c r="A459" s="54"/>
      <c r="B459" s="323" t="s">
        <v>522</v>
      </c>
      <c r="C459" s="324"/>
      <c r="D459" s="324"/>
      <c r="E459" s="324"/>
      <c r="F459" s="324"/>
      <c r="G459" s="324"/>
      <c r="H459" s="324"/>
      <c r="I459" s="324"/>
      <c r="J459" s="324"/>
      <c r="K459" s="324"/>
      <c r="L459" s="324"/>
      <c r="M459" s="324"/>
      <c r="N459" s="324"/>
      <c r="O459" s="324"/>
      <c r="P459" s="117" t="s">
        <v>281</v>
      </c>
      <c r="Q459" s="7" t="s">
        <v>292</v>
      </c>
      <c r="R459" s="7"/>
      <c r="S459" s="7"/>
      <c r="T459" s="7"/>
      <c r="U459" s="7"/>
      <c r="V459" s="7"/>
      <c r="W459" s="121"/>
      <c r="X459" s="331">
        <v>0.5</v>
      </c>
      <c r="Y459" s="332"/>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row>
    <row r="460" spans="1:77" ht="15.75" customHeight="1" x14ac:dyDescent="0.55000000000000004">
      <c r="A460" s="54"/>
      <c r="B460" s="325"/>
      <c r="C460" s="326"/>
      <c r="D460" s="326"/>
      <c r="E460" s="326"/>
      <c r="F460" s="326"/>
      <c r="G460" s="326"/>
      <c r="H460" s="326"/>
      <c r="I460" s="326"/>
      <c r="J460" s="326"/>
      <c r="K460" s="326"/>
      <c r="L460" s="326"/>
      <c r="M460" s="326"/>
      <c r="N460" s="326"/>
      <c r="O460" s="326"/>
      <c r="P460" s="66"/>
      <c r="W460" s="115"/>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row>
    <row r="461" spans="1:77" ht="15.75" customHeight="1" x14ac:dyDescent="0.55000000000000004">
      <c r="A461" s="54"/>
      <c r="B461" s="327"/>
      <c r="C461" s="328"/>
      <c r="D461" s="328"/>
      <c r="E461" s="328"/>
      <c r="F461" s="328"/>
      <c r="G461" s="328"/>
      <c r="H461" s="328"/>
      <c r="I461" s="328"/>
      <c r="J461" s="328"/>
      <c r="K461" s="328"/>
      <c r="L461" s="328"/>
      <c r="M461" s="328"/>
      <c r="N461" s="328"/>
      <c r="O461" s="328"/>
      <c r="P461" s="66"/>
      <c r="W461" s="115"/>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row>
    <row r="462" spans="1:77" ht="15.75" customHeight="1" x14ac:dyDescent="0.55000000000000004">
      <c r="A462" s="54"/>
      <c r="B462" s="324" t="s">
        <v>619</v>
      </c>
      <c r="C462" s="324"/>
      <c r="D462" s="324"/>
      <c r="E462" s="324"/>
      <c r="F462" s="324"/>
      <c r="G462" s="324"/>
      <c r="H462" s="324"/>
      <c r="I462" s="324"/>
      <c r="J462" s="324"/>
      <c r="K462" s="324"/>
      <c r="L462" s="324"/>
      <c r="M462" s="324"/>
      <c r="N462" s="324"/>
      <c r="O462" s="384"/>
      <c r="P462" s="66"/>
      <c r="W462" s="115"/>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row>
    <row r="463" spans="1:77" ht="15.75" customHeight="1" x14ac:dyDescent="0.55000000000000004">
      <c r="A463" s="54"/>
      <c r="B463" s="328"/>
      <c r="C463" s="328"/>
      <c r="D463" s="328"/>
      <c r="E463" s="328"/>
      <c r="F463" s="328"/>
      <c r="G463" s="328"/>
      <c r="H463" s="328"/>
      <c r="I463" s="328"/>
      <c r="J463" s="328"/>
      <c r="K463" s="328"/>
      <c r="L463" s="328"/>
      <c r="M463" s="328"/>
      <c r="N463" s="328"/>
      <c r="O463" s="342"/>
      <c r="P463" s="156"/>
      <c r="Q463" s="70"/>
      <c r="R463" s="157"/>
      <c r="S463" s="184"/>
      <c r="T463" s="184"/>
      <c r="U463" s="2"/>
      <c r="V463" s="2"/>
      <c r="W463" s="161"/>
      <c r="X463" s="2"/>
      <c r="Y463" s="16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row>
    <row r="464" spans="1:77" ht="15.75" customHeight="1" x14ac:dyDescent="0.55000000000000004">
      <c r="A464" s="54"/>
      <c r="B464" s="323" t="s">
        <v>523</v>
      </c>
      <c r="C464" s="324"/>
      <c r="D464" s="324"/>
      <c r="E464" s="324"/>
      <c r="F464" s="324"/>
      <c r="G464" s="324"/>
      <c r="H464" s="324"/>
      <c r="I464" s="324"/>
      <c r="J464" s="324"/>
      <c r="K464" s="324"/>
      <c r="L464" s="324"/>
      <c r="M464" s="324"/>
      <c r="N464" s="324"/>
      <c r="O464" s="324"/>
      <c r="P464" s="156"/>
      <c r="Q464" s="70"/>
      <c r="R464" s="157"/>
      <c r="S464" s="184"/>
      <c r="T464" s="184"/>
      <c r="U464" s="2"/>
      <c r="V464" s="2"/>
      <c r="W464" s="161"/>
      <c r="X464" s="2"/>
      <c r="Y464" s="16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row>
    <row r="465" spans="1:77" ht="15.75" customHeight="1" x14ac:dyDescent="0.55000000000000004">
      <c r="A465" s="54"/>
      <c r="B465" s="327"/>
      <c r="C465" s="328"/>
      <c r="D465" s="328"/>
      <c r="E465" s="328"/>
      <c r="F465" s="328"/>
      <c r="G465" s="328"/>
      <c r="H465" s="328"/>
      <c r="I465" s="328"/>
      <c r="J465" s="328"/>
      <c r="K465" s="328"/>
      <c r="L465" s="328"/>
      <c r="M465" s="328"/>
      <c r="N465" s="328"/>
      <c r="O465" s="328"/>
      <c r="P465" s="156"/>
      <c r="Q465" s="70"/>
      <c r="R465" s="157"/>
      <c r="S465" s="185"/>
      <c r="T465" s="185"/>
      <c r="U465" s="1"/>
      <c r="V465" s="1"/>
      <c r="W465" s="165"/>
      <c r="X465" s="1"/>
      <c r="Y465" s="165"/>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row>
    <row r="466" spans="1:77" ht="15.75" customHeight="1" x14ac:dyDescent="0.55000000000000004">
      <c r="A466" s="54"/>
      <c r="B466" s="323" t="s">
        <v>524</v>
      </c>
      <c r="C466" s="324"/>
      <c r="D466" s="324"/>
      <c r="E466" s="324"/>
      <c r="F466" s="324"/>
      <c r="G466" s="324"/>
      <c r="H466" s="324"/>
      <c r="I466" s="324"/>
      <c r="J466" s="324"/>
      <c r="K466" s="324"/>
      <c r="L466" s="324"/>
      <c r="M466" s="324"/>
      <c r="N466" s="324"/>
      <c r="O466" s="324"/>
      <c r="P466" s="156"/>
      <c r="Q466" s="70"/>
      <c r="R466" s="157"/>
      <c r="S466" s="185"/>
      <c r="T466" s="185"/>
      <c r="U466" s="1"/>
      <c r="V466" s="1"/>
      <c r="W466" s="165"/>
      <c r="X466" s="1"/>
      <c r="Y466" s="165"/>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row>
    <row r="467" spans="1:77" ht="15.75" customHeight="1" x14ac:dyDescent="0.55000000000000004">
      <c r="A467" s="54"/>
      <c r="B467" s="325"/>
      <c r="C467" s="326"/>
      <c r="D467" s="326"/>
      <c r="E467" s="326"/>
      <c r="F467" s="326"/>
      <c r="G467" s="326"/>
      <c r="H467" s="326"/>
      <c r="I467" s="326"/>
      <c r="J467" s="326"/>
      <c r="K467" s="326"/>
      <c r="L467" s="326"/>
      <c r="M467" s="326"/>
      <c r="N467" s="326"/>
      <c r="O467" s="326"/>
      <c r="P467" s="156"/>
      <c r="Q467" s="70"/>
      <c r="R467" s="157"/>
      <c r="S467" s="184"/>
      <c r="T467" s="184"/>
      <c r="U467" s="2"/>
      <c r="V467" s="2"/>
      <c r="W467" s="161"/>
      <c r="X467" s="2"/>
      <c r="Y467" s="16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row>
    <row r="468" spans="1:77" ht="15.75" customHeight="1" x14ac:dyDescent="0.55000000000000004">
      <c r="A468" s="54"/>
      <c r="B468" s="327"/>
      <c r="C468" s="328"/>
      <c r="D468" s="328"/>
      <c r="E468" s="328"/>
      <c r="F468" s="328"/>
      <c r="G468" s="328"/>
      <c r="H468" s="328"/>
      <c r="I468" s="328"/>
      <c r="J468" s="328"/>
      <c r="K468" s="328"/>
      <c r="L468" s="328"/>
      <c r="M468" s="328"/>
      <c r="N468" s="328"/>
      <c r="O468" s="328"/>
      <c r="P468" s="100" t="s">
        <v>282</v>
      </c>
      <c r="Q468" s="141" t="s">
        <v>274</v>
      </c>
      <c r="R468" s="141"/>
      <c r="S468" s="141"/>
      <c r="T468" s="141"/>
      <c r="U468" s="141"/>
      <c r="V468" s="141"/>
      <c r="W468" s="142"/>
      <c r="X468" s="333">
        <v>0</v>
      </c>
      <c r="Y468" s="334"/>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row>
    <row r="469" spans="1:77" ht="15.3" x14ac:dyDescent="0.55000000000000004">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row>
    <row r="470" spans="1:77" ht="15.3" x14ac:dyDescent="0.55000000000000004">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row>
    <row r="471" spans="1:77" ht="15.3" x14ac:dyDescent="0.55000000000000004">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row>
    <row r="472" spans="1:77" ht="15.3" x14ac:dyDescent="0.55000000000000004">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row>
    <row r="473" spans="1:77" ht="15.3" x14ac:dyDescent="0.55000000000000004">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row>
    <row r="474" spans="1:77" ht="15.3" x14ac:dyDescent="0.55000000000000004">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row>
    <row r="475" spans="1:77" ht="15.3" x14ac:dyDescent="0.55000000000000004">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row>
    <row r="476" spans="1:77" ht="15.3" x14ac:dyDescent="0.55000000000000004">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row>
    <row r="477" spans="1:77" ht="15.3" x14ac:dyDescent="0.55000000000000004">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row>
    <row r="478" spans="1:77" ht="15.3" x14ac:dyDescent="0.55000000000000004">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row>
    <row r="479" spans="1:77" ht="15.3" x14ac:dyDescent="0.55000000000000004">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row>
    <row r="480" spans="1:77" ht="15.3" x14ac:dyDescent="0.55000000000000004">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row>
    <row r="481" spans="3:77" ht="15.3" x14ac:dyDescent="0.55000000000000004">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row>
    <row r="482" spans="3:77" ht="15.3" x14ac:dyDescent="0.55000000000000004">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row>
    <row r="483" spans="3:77" ht="15.3" x14ac:dyDescent="0.55000000000000004">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row>
    <row r="484" spans="3:77" ht="15.3" x14ac:dyDescent="0.55000000000000004">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row>
    <row r="485" spans="3:77" ht="15.3" x14ac:dyDescent="0.55000000000000004">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row>
    <row r="486" spans="3:77" ht="15.3" x14ac:dyDescent="0.55000000000000004">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row>
    <row r="487" spans="3:77" ht="15.3" x14ac:dyDescent="0.55000000000000004">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row>
    <row r="488" spans="3:77" ht="15.3" x14ac:dyDescent="0.55000000000000004">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row>
    <row r="489" spans="3:77" ht="15.3" x14ac:dyDescent="0.55000000000000004">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row>
    <row r="490" spans="3:77" ht="15.3" x14ac:dyDescent="0.55000000000000004">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row>
    <row r="491" spans="3:77" ht="15.3" x14ac:dyDescent="0.55000000000000004">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row>
    <row r="492" spans="3:77" ht="15.3" x14ac:dyDescent="0.55000000000000004">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row>
    <row r="493" spans="3:77" ht="15.3" x14ac:dyDescent="0.55000000000000004">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row>
    <row r="494" spans="3:77" ht="15.3" x14ac:dyDescent="0.55000000000000004">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row>
    <row r="495" spans="3:77" ht="15.3" x14ac:dyDescent="0.55000000000000004">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row>
    <row r="496" spans="3:77" ht="15.3" x14ac:dyDescent="0.55000000000000004">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row>
    <row r="497" spans="3:77" ht="15.3" x14ac:dyDescent="0.55000000000000004">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row>
    <row r="498" spans="3:77" ht="15.3" x14ac:dyDescent="0.55000000000000004">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row>
    <row r="499" spans="3:77" ht="15.3" x14ac:dyDescent="0.55000000000000004">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row>
    <row r="500" spans="3:77" ht="15.3" x14ac:dyDescent="0.55000000000000004">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row>
    <row r="501" spans="3:77" ht="15.3" x14ac:dyDescent="0.55000000000000004">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row>
    <row r="502" spans="3:77" ht="15.3" x14ac:dyDescent="0.55000000000000004">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row>
    <row r="503" spans="3:77" ht="15.3" x14ac:dyDescent="0.55000000000000004">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row>
    <row r="504" spans="3:77" ht="15.3" x14ac:dyDescent="0.55000000000000004">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row>
    <row r="505" spans="3:77" ht="15.3" x14ac:dyDescent="0.55000000000000004">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row>
    <row r="506" spans="3:77" ht="15.3" x14ac:dyDescent="0.55000000000000004">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row>
    <row r="507" spans="3:77" ht="15.3" x14ac:dyDescent="0.55000000000000004">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row>
    <row r="508" spans="3:77" ht="15.3" x14ac:dyDescent="0.55000000000000004">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row>
    <row r="509" spans="3:77" ht="15.3" x14ac:dyDescent="0.55000000000000004">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row>
    <row r="510" spans="3:77" ht="15.3" x14ac:dyDescent="0.55000000000000004">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row>
    <row r="511" spans="3:77" ht="15.3" x14ac:dyDescent="0.55000000000000004">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row>
    <row r="512" spans="3:77" ht="15.3" x14ac:dyDescent="0.55000000000000004">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row>
    <row r="513" spans="3:77" ht="15.3" x14ac:dyDescent="0.55000000000000004">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row>
    <row r="514" spans="3:77" ht="15.3" x14ac:dyDescent="0.55000000000000004">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row>
    <row r="515" spans="3:77" ht="15.3" x14ac:dyDescent="0.55000000000000004">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row>
    <row r="516" spans="3:77" ht="15.3" x14ac:dyDescent="0.55000000000000004">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row>
    <row r="517" spans="3:77" ht="15.3" x14ac:dyDescent="0.55000000000000004">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row>
    <row r="518" spans="3:77" ht="15.3" x14ac:dyDescent="0.55000000000000004">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row>
    <row r="519" spans="3:77" ht="15.3" x14ac:dyDescent="0.55000000000000004">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row>
    <row r="520" spans="3:77" ht="15.3" x14ac:dyDescent="0.55000000000000004">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row>
    <row r="521" spans="3:77" ht="15.3" x14ac:dyDescent="0.55000000000000004">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row>
    <row r="522" spans="3:77" ht="15.3" x14ac:dyDescent="0.55000000000000004">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row>
    <row r="523" spans="3:77" ht="15.3" x14ac:dyDescent="0.55000000000000004">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row>
    <row r="524" spans="3:77" ht="15.3" x14ac:dyDescent="0.55000000000000004">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row>
    <row r="525" spans="3:77" ht="15.3" x14ac:dyDescent="0.55000000000000004">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row>
    <row r="526" spans="3:77" ht="15.3" x14ac:dyDescent="0.55000000000000004">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row>
    <row r="527" spans="3:77" ht="15.3" x14ac:dyDescent="0.55000000000000004">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row>
    <row r="528" spans="3:77" ht="15.3" x14ac:dyDescent="0.55000000000000004">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row>
    <row r="529" spans="3:77" ht="15.3" x14ac:dyDescent="0.55000000000000004">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row>
    <row r="530" spans="3:77" ht="15.3" x14ac:dyDescent="0.55000000000000004">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row>
    <row r="531" spans="3:77" ht="15.3" x14ac:dyDescent="0.55000000000000004">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row>
    <row r="532" spans="3:77" ht="15.3" x14ac:dyDescent="0.55000000000000004">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row>
    <row r="533" spans="3:77" ht="15.3" x14ac:dyDescent="0.55000000000000004">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row>
    <row r="534" spans="3:77" ht="15.3" x14ac:dyDescent="0.55000000000000004">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row>
    <row r="535" spans="3:77" ht="15.3" x14ac:dyDescent="0.55000000000000004">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row>
    <row r="536" spans="3:77" ht="15.3" x14ac:dyDescent="0.55000000000000004">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row>
    <row r="537" spans="3:77" ht="15.3" x14ac:dyDescent="0.55000000000000004">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row>
    <row r="538" spans="3:77" ht="15.3" x14ac:dyDescent="0.55000000000000004">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row>
    <row r="539" spans="3:77" ht="15.3" x14ac:dyDescent="0.55000000000000004">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row>
    <row r="540" spans="3:77" ht="15.3" x14ac:dyDescent="0.55000000000000004">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row>
    <row r="541" spans="3:77" ht="15.3" x14ac:dyDescent="0.55000000000000004">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row>
    <row r="542" spans="3:77" ht="15.3" x14ac:dyDescent="0.55000000000000004">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row>
    <row r="543" spans="3:77" ht="15.3" x14ac:dyDescent="0.55000000000000004">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row>
    <row r="544" spans="3:77" ht="15.3" x14ac:dyDescent="0.55000000000000004">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row>
    <row r="545" spans="3:77" ht="15.3" x14ac:dyDescent="0.55000000000000004">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row>
    <row r="546" spans="3:77" ht="15.3" x14ac:dyDescent="0.55000000000000004">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row>
    <row r="547" spans="3:77" ht="15.3" x14ac:dyDescent="0.55000000000000004">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row>
    <row r="548" spans="3:77" ht="15.3" x14ac:dyDescent="0.55000000000000004">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row>
    <row r="549" spans="3:77" ht="15.3" x14ac:dyDescent="0.55000000000000004">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row>
    <row r="550" spans="3:77" ht="15.3" x14ac:dyDescent="0.55000000000000004">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row>
    <row r="551" spans="3:77" ht="15.3" x14ac:dyDescent="0.55000000000000004">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row>
    <row r="552" spans="3:77" ht="15.3" x14ac:dyDescent="0.55000000000000004">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row>
    <row r="553" spans="3:77" ht="15.3" x14ac:dyDescent="0.55000000000000004">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row>
    <row r="554" spans="3:77" ht="15.3" x14ac:dyDescent="0.55000000000000004">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row>
    <row r="555" spans="3:77" ht="15.3" x14ac:dyDescent="0.55000000000000004">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row>
    <row r="556" spans="3:77" ht="15.3" x14ac:dyDescent="0.55000000000000004">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row>
    <row r="557" spans="3:77" ht="15.3" x14ac:dyDescent="0.55000000000000004">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row>
    <row r="558" spans="3:77" ht="15.3" x14ac:dyDescent="0.55000000000000004">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row>
    <row r="559" spans="3:77" ht="15.3" x14ac:dyDescent="0.55000000000000004">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row>
    <row r="560" spans="3:77" ht="15.3" x14ac:dyDescent="0.55000000000000004">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row>
    <row r="561" spans="3:77" ht="15.3" x14ac:dyDescent="0.55000000000000004">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row>
    <row r="562" spans="3:77" ht="15.3" x14ac:dyDescent="0.55000000000000004">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row>
    <row r="563" spans="3:77" ht="15.3" x14ac:dyDescent="0.55000000000000004">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row>
    <row r="564" spans="3:77" ht="15.3" x14ac:dyDescent="0.55000000000000004">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row>
    <row r="565" spans="3:77" ht="15.3" x14ac:dyDescent="0.55000000000000004">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row>
    <row r="566" spans="3:77" ht="15.3" x14ac:dyDescent="0.55000000000000004">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row>
    <row r="567" spans="3:77" ht="15.3" x14ac:dyDescent="0.55000000000000004">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row>
    <row r="568" spans="3:77" ht="15.3" x14ac:dyDescent="0.55000000000000004">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row>
    <row r="569" spans="3:77" ht="15.3" x14ac:dyDescent="0.55000000000000004">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row>
    <row r="570" spans="3:77" ht="15.3" x14ac:dyDescent="0.55000000000000004">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row>
    <row r="571" spans="3:77" ht="15.3" x14ac:dyDescent="0.55000000000000004">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row>
    <row r="572" spans="3:77" ht="15.3" x14ac:dyDescent="0.55000000000000004">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row>
    <row r="573" spans="3:77" ht="15.3" x14ac:dyDescent="0.55000000000000004">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row>
    <row r="574" spans="3:77" ht="15.3" x14ac:dyDescent="0.55000000000000004">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row>
    <row r="575" spans="3:77" ht="15.3" x14ac:dyDescent="0.55000000000000004">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row>
    <row r="576" spans="3:77" ht="15.3" x14ac:dyDescent="0.55000000000000004">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row>
    <row r="577" spans="3:77" ht="15.3" x14ac:dyDescent="0.55000000000000004">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row>
    <row r="578" spans="3:77" ht="15.3" x14ac:dyDescent="0.55000000000000004">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row>
    <row r="579" spans="3:77" ht="15.3" x14ac:dyDescent="0.55000000000000004">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row>
    <row r="580" spans="3:77" ht="15.3" x14ac:dyDescent="0.55000000000000004">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row>
    <row r="581" spans="3:77" ht="15.3" x14ac:dyDescent="0.55000000000000004">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row>
    <row r="582" spans="3:77" ht="15.3" x14ac:dyDescent="0.55000000000000004">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row>
    <row r="583" spans="3:77" ht="15.3" x14ac:dyDescent="0.55000000000000004">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row>
    <row r="584" spans="3:77" ht="15.3" x14ac:dyDescent="0.55000000000000004">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row>
    <row r="585" spans="3:77" ht="15.3" x14ac:dyDescent="0.55000000000000004">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row>
    <row r="586" spans="3:77" ht="15.3" x14ac:dyDescent="0.55000000000000004">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row>
    <row r="587" spans="3:77" ht="15.3" x14ac:dyDescent="0.55000000000000004">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row>
    <row r="588" spans="3:77" ht="15.3" x14ac:dyDescent="0.55000000000000004">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row>
    <row r="589" spans="3:77" ht="15.3" x14ac:dyDescent="0.55000000000000004">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row>
    <row r="590" spans="3:77" ht="15.3" x14ac:dyDescent="0.55000000000000004">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row>
    <row r="591" spans="3:77" ht="15.3" x14ac:dyDescent="0.55000000000000004">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row>
    <row r="592" spans="3:77" ht="15.3" x14ac:dyDescent="0.55000000000000004">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row>
    <row r="593" spans="3:77" ht="15.3" x14ac:dyDescent="0.55000000000000004">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row>
    <row r="594" spans="3:77" ht="15.3" x14ac:dyDescent="0.55000000000000004">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row>
    <row r="595" spans="3:77" ht="15.3" x14ac:dyDescent="0.55000000000000004">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row>
    <row r="596" spans="3:77" ht="15.3" x14ac:dyDescent="0.55000000000000004">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row>
    <row r="597" spans="3:77" ht="15.3" x14ac:dyDescent="0.55000000000000004">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row>
    <row r="598" spans="3:77" ht="15.3" x14ac:dyDescent="0.55000000000000004">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row>
    <row r="599" spans="3:77" ht="15.3" x14ac:dyDescent="0.55000000000000004">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row>
    <row r="600" spans="3:77" ht="15.3" x14ac:dyDescent="0.55000000000000004">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row>
    <row r="601" spans="3:77" ht="15.3" x14ac:dyDescent="0.55000000000000004">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row>
    <row r="602" spans="3:77" ht="15.3" x14ac:dyDescent="0.55000000000000004">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row>
    <row r="603" spans="3:77" ht="15.3" x14ac:dyDescent="0.55000000000000004">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row>
    <row r="604" spans="3:77" ht="15.3" x14ac:dyDescent="0.55000000000000004">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row>
    <row r="605" spans="3:77" ht="15.3" x14ac:dyDescent="0.55000000000000004">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row>
    <row r="606" spans="3:77" ht="15.3" x14ac:dyDescent="0.55000000000000004">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row>
    <row r="607" spans="3:77" ht="15.3" x14ac:dyDescent="0.55000000000000004">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row>
    <row r="608" spans="3:77" ht="15.3" x14ac:dyDescent="0.55000000000000004">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row>
    <row r="609" spans="3:77" ht="15.3" x14ac:dyDescent="0.55000000000000004">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row>
    <row r="610" spans="3:77" ht="15.3" x14ac:dyDescent="0.55000000000000004">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row>
    <row r="611" spans="3:77" ht="15.3" x14ac:dyDescent="0.55000000000000004">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row>
    <row r="612" spans="3:77" ht="15.3" x14ac:dyDescent="0.55000000000000004">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row>
    <row r="613" spans="3:77" ht="15.3" x14ac:dyDescent="0.55000000000000004">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row>
    <row r="614" spans="3:77" ht="15.3" x14ac:dyDescent="0.55000000000000004">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row>
    <row r="615" spans="3:77" ht="15.3" x14ac:dyDescent="0.55000000000000004">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row>
    <row r="616" spans="3:77" ht="15.3" x14ac:dyDescent="0.55000000000000004">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row>
    <row r="617" spans="3:77" ht="15.3" x14ac:dyDescent="0.55000000000000004">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row>
    <row r="618" spans="3:77" ht="15.3" x14ac:dyDescent="0.55000000000000004">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row>
    <row r="619" spans="3:77" ht="15.3" x14ac:dyDescent="0.55000000000000004">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row>
    <row r="620" spans="3:77" ht="15.3" x14ac:dyDescent="0.55000000000000004">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row>
    <row r="621" spans="3:77" ht="15.3" x14ac:dyDescent="0.55000000000000004">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row>
    <row r="622" spans="3:77" ht="15.3" x14ac:dyDescent="0.55000000000000004">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row>
    <row r="623" spans="3:77" ht="15.3" x14ac:dyDescent="0.55000000000000004">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row>
    <row r="624" spans="3:77" ht="15.3" x14ac:dyDescent="0.55000000000000004">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row>
    <row r="625" spans="3:77" ht="15.3" x14ac:dyDescent="0.55000000000000004">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row>
    <row r="626" spans="3:77" ht="15.3" x14ac:dyDescent="0.55000000000000004">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row>
    <row r="627" spans="3:77" ht="15.3" x14ac:dyDescent="0.55000000000000004">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row>
    <row r="628" spans="3:77" ht="15.3" x14ac:dyDescent="0.55000000000000004">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row>
    <row r="629" spans="3:77" ht="15.3" x14ac:dyDescent="0.55000000000000004">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row>
    <row r="630" spans="3:77" ht="15.3" x14ac:dyDescent="0.55000000000000004">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row>
    <row r="631" spans="3:77" ht="15.3" x14ac:dyDescent="0.55000000000000004">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row>
    <row r="632" spans="3:77" ht="15.3" x14ac:dyDescent="0.55000000000000004">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row>
    <row r="633" spans="3:77" ht="15.3" x14ac:dyDescent="0.55000000000000004">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row>
    <row r="634" spans="3:77" ht="15.3" x14ac:dyDescent="0.55000000000000004">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row>
    <row r="635" spans="3:77" ht="15.3" x14ac:dyDescent="0.55000000000000004">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row>
    <row r="636" spans="3:77" ht="15.3" x14ac:dyDescent="0.55000000000000004">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row>
    <row r="637" spans="3:77" ht="15.3" x14ac:dyDescent="0.55000000000000004">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row>
    <row r="638" spans="3:77" ht="15.3" x14ac:dyDescent="0.55000000000000004">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row>
    <row r="639" spans="3:77" ht="15.3" x14ac:dyDescent="0.55000000000000004">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row>
    <row r="640" spans="3:77" ht="15.3" x14ac:dyDescent="0.55000000000000004">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row>
    <row r="641" spans="3:77" ht="15.3" x14ac:dyDescent="0.55000000000000004">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row>
    <row r="642" spans="3:77" ht="15.3" x14ac:dyDescent="0.55000000000000004">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row>
    <row r="643" spans="3:77" ht="15.3" x14ac:dyDescent="0.55000000000000004">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row>
    <row r="644" spans="3:77" ht="15.3" x14ac:dyDescent="0.55000000000000004">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row>
    <row r="645" spans="3:77" ht="15.3" x14ac:dyDescent="0.55000000000000004">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row>
    <row r="646" spans="3:77" ht="15.3" x14ac:dyDescent="0.55000000000000004">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row>
    <row r="647" spans="3:77" ht="15.3" x14ac:dyDescent="0.55000000000000004">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row>
    <row r="648" spans="3:77" ht="15.3" x14ac:dyDescent="0.55000000000000004">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row>
    <row r="649" spans="3:77" ht="15.3" x14ac:dyDescent="0.55000000000000004">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row>
    <row r="650" spans="3:77" ht="15.3" x14ac:dyDescent="0.55000000000000004">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row>
    <row r="651" spans="3:77" ht="15.3" x14ac:dyDescent="0.55000000000000004">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row>
    <row r="652" spans="3:77" ht="15.3" x14ac:dyDescent="0.55000000000000004">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row>
    <row r="653" spans="3:77" ht="15.3" x14ac:dyDescent="0.55000000000000004">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row>
    <row r="654" spans="3:77" ht="15.3" x14ac:dyDescent="0.55000000000000004">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row>
    <row r="655" spans="3:77" ht="15.3" x14ac:dyDescent="0.55000000000000004">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row>
    <row r="656" spans="3:77" ht="15.3" x14ac:dyDescent="0.55000000000000004">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row>
    <row r="657" spans="3:77" ht="15.3" x14ac:dyDescent="0.55000000000000004">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row>
    <row r="658" spans="3:77" ht="15.3" x14ac:dyDescent="0.55000000000000004">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row>
    <row r="659" spans="3:77" ht="15.3" x14ac:dyDescent="0.55000000000000004">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row>
    <row r="660" spans="3:77" ht="15.3" x14ac:dyDescent="0.55000000000000004">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row>
    <row r="661" spans="3:77" ht="15.3" x14ac:dyDescent="0.55000000000000004">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row>
    <row r="662" spans="3:77" ht="15.3" x14ac:dyDescent="0.55000000000000004">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row>
    <row r="663" spans="3:77" ht="15.3" x14ac:dyDescent="0.55000000000000004">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row>
    <row r="664" spans="3:77" ht="15.3" x14ac:dyDescent="0.55000000000000004">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row>
  </sheetData>
  <mergeCells count="675">
    <mergeCell ref="B462:O463"/>
    <mergeCell ref="A287:Y287"/>
    <mergeCell ref="B448:O449"/>
    <mergeCell ref="P448:P449"/>
    <mergeCell ref="Q448:W449"/>
    <mergeCell ref="X448:Y449"/>
    <mergeCell ref="B443:O443"/>
    <mergeCell ref="B444:O444"/>
    <mergeCell ref="B445:O445"/>
    <mergeCell ref="B446:O446"/>
    <mergeCell ref="B447:O447"/>
    <mergeCell ref="X438:Y438"/>
    <mergeCell ref="Q441:W441"/>
    <mergeCell ref="X441:Y441"/>
    <mergeCell ref="Q443:W443"/>
    <mergeCell ref="X443:Y443"/>
    <mergeCell ref="Q445:W445"/>
    <mergeCell ref="X445:Y445"/>
    <mergeCell ref="Q447:W447"/>
    <mergeCell ref="X447:Y447"/>
    <mergeCell ref="Q319:W319"/>
    <mergeCell ref="X319:Y319"/>
    <mergeCell ref="P316:P317"/>
    <mergeCell ref="Q316:W317"/>
    <mergeCell ref="C415:O417"/>
    <mergeCell ref="C418:O420"/>
    <mergeCell ref="X409:Y409"/>
    <mergeCell ref="Q420:W420"/>
    <mergeCell ref="X420:Y420"/>
    <mergeCell ref="X415:Y415"/>
    <mergeCell ref="C317:O319"/>
    <mergeCell ref="C320:O320"/>
    <mergeCell ref="C321:O321"/>
    <mergeCell ref="C322:O323"/>
    <mergeCell ref="A344:Y344"/>
    <mergeCell ref="C355:O357"/>
    <mergeCell ref="C358:O361"/>
    <mergeCell ref="C362:O364"/>
    <mergeCell ref="A392:Y392"/>
    <mergeCell ref="S383:T383"/>
    <mergeCell ref="A400:A401"/>
    <mergeCell ref="C336:O337"/>
    <mergeCell ref="C338:O339"/>
    <mergeCell ref="X336:Y336"/>
    <mergeCell ref="Q343:W343"/>
    <mergeCell ref="X343:Y343"/>
    <mergeCell ref="Q338:W338"/>
    <mergeCell ref="C340:O343"/>
    <mergeCell ref="P340:P341"/>
    <mergeCell ref="X310:Y310"/>
    <mergeCell ref="A309:O309"/>
    <mergeCell ref="P309:Y309"/>
    <mergeCell ref="C311:O311"/>
    <mergeCell ref="C312:O313"/>
    <mergeCell ref="C314:O315"/>
    <mergeCell ref="C316:O316"/>
    <mergeCell ref="B299:O301"/>
    <mergeCell ref="B302:O303"/>
    <mergeCell ref="B310:O310"/>
    <mergeCell ref="P310:W310"/>
    <mergeCell ref="A307:Y307"/>
    <mergeCell ref="A308:Y308"/>
    <mergeCell ref="X311:Y311"/>
    <mergeCell ref="X316:Y317"/>
    <mergeCell ref="Q313:W314"/>
    <mergeCell ref="P313:P314"/>
    <mergeCell ref="X313:Y314"/>
    <mergeCell ref="Q340:W341"/>
    <mergeCell ref="X340:Y341"/>
    <mergeCell ref="P335:W335"/>
    <mergeCell ref="X335:Y335"/>
    <mergeCell ref="X338:Y338"/>
    <mergeCell ref="X289:Y289"/>
    <mergeCell ref="X295:Y295"/>
    <mergeCell ref="Q306:W306"/>
    <mergeCell ref="X306:Y306"/>
    <mergeCell ref="Q295:W295"/>
    <mergeCell ref="B304:O306"/>
    <mergeCell ref="P300:P301"/>
    <mergeCell ref="Q300:W301"/>
    <mergeCell ref="X300:Y301"/>
    <mergeCell ref="B289:O292"/>
    <mergeCell ref="B293:O295"/>
    <mergeCell ref="B296:O298"/>
    <mergeCell ref="S296:T296"/>
    <mergeCell ref="S297:T297"/>
    <mergeCell ref="X276:Y277"/>
    <mergeCell ref="A252:Y252"/>
    <mergeCell ref="A253:M253"/>
    <mergeCell ref="A280:O280"/>
    <mergeCell ref="P280:W280"/>
    <mergeCell ref="X280:Y280"/>
    <mergeCell ref="B281:O282"/>
    <mergeCell ref="B283:O284"/>
    <mergeCell ref="X281:Y281"/>
    <mergeCell ref="X283:Y283"/>
    <mergeCell ref="P284:P285"/>
    <mergeCell ref="Q284:W285"/>
    <mergeCell ref="X284:Y285"/>
    <mergeCell ref="B285:O286"/>
    <mergeCell ref="Q286:W286"/>
    <mergeCell ref="X286:Y286"/>
    <mergeCell ref="N253:Y253"/>
    <mergeCell ref="Q269:W269"/>
    <mergeCell ref="X269:Y269"/>
    <mergeCell ref="Q267:W267"/>
    <mergeCell ref="C263:O264"/>
    <mergeCell ref="B262:O262"/>
    <mergeCell ref="P262:W262"/>
    <mergeCell ref="X262:Y262"/>
    <mergeCell ref="A232:O232"/>
    <mergeCell ref="B245:O246"/>
    <mergeCell ref="B247:O248"/>
    <mergeCell ref="B249:O250"/>
    <mergeCell ref="P244:W244"/>
    <mergeCell ref="A244:O244"/>
    <mergeCell ref="P248:P249"/>
    <mergeCell ref="P232:W232"/>
    <mergeCell ref="P276:P277"/>
    <mergeCell ref="Q276:W277"/>
    <mergeCell ref="A251:Y251"/>
    <mergeCell ref="X232:Y232"/>
    <mergeCell ref="X244:Y244"/>
    <mergeCell ref="X245:Y245"/>
    <mergeCell ref="Q247:W247"/>
    <mergeCell ref="X247:Y247"/>
    <mergeCell ref="Q250:W250"/>
    <mergeCell ref="X250:Y250"/>
    <mergeCell ref="Q248:W249"/>
    <mergeCell ref="X248:Y249"/>
    <mergeCell ref="X263:Y263"/>
    <mergeCell ref="Q265:W265"/>
    <mergeCell ref="X265:Y265"/>
    <mergeCell ref="X267:Y267"/>
    <mergeCell ref="X148:Y148"/>
    <mergeCell ref="X157:Y157"/>
    <mergeCell ref="Q160:W160"/>
    <mergeCell ref="X160:Y160"/>
    <mergeCell ref="P161:W161"/>
    <mergeCell ref="X161:Y161"/>
    <mergeCell ref="D162:O162"/>
    <mergeCell ref="D163:O163"/>
    <mergeCell ref="X162:Y162"/>
    <mergeCell ref="Q163:W163"/>
    <mergeCell ref="X163:Y163"/>
    <mergeCell ref="C161:O161"/>
    <mergeCell ref="X151:Y151"/>
    <mergeCell ref="X153:Y153"/>
    <mergeCell ref="X154:Y154"/>
    <mergeCell ref="D145:O146"/>
    <mergeCell ref="D147:O148"/>
    <mergeCell ref="D149:O150"/>
    <mergeCell ref="D151:O152"/>
    <mergeCell ref="D154:O155"/>
    <mergeCell ref="D156:O159"/>
    <mergeCell ref="D160:O160"/>
    <mergeCell ref="B135:O135"/>
    <mergeCell ref="P135:W135"/>
    <mergeCell ref="C144:O144"/>
    <mergeCell ref="P144:W144"/>
    <mergeCell ref="Q157:W157"/>
    <mergeCell ref="Q151:W151"/>
    <mergeCell ref="P153:W153"/>
    <mergeCell ref="X135:Y135"/>
    <mergeCell ref="X136:Y136"/>
    <mergeCell ref="X139:Y139"/>
    <mergeCell ref="X142:Y142"/>
    <mergeCell ref="Q136:W136"/>
    <mergeCell ref="Q139:W139"/>
    <mergeCell ref="Q142:W142"/>
    <mergeCell ref="C136:O137"/>
    <mergeCell ref="C138:O139"/>
    <mergeCell ref="C140:O142"/>
    <mergeCell ref="Q129:W129"/>
    <mergeCell ref="Q131:W131"/>
    <mergeCell ref="Q124:W124"/>
    <mergeCell ref="Q133:W133"/>
    <mergeCell ref="X129:Y129"/>
    <mergeCell ref="X131:Y131"/>
    <mergeCell ref="X133:Y133"/>
    <mergeCell ref="D128:O129"/>
    <mergeCell ref="D130:O131"/>
    <mergeCell ref="D132:O134"/>
    <mergeCell ref="P107:W107"/>
    <mergeCell ref="X107:Y107"/>
    <mergeCell ref="Q108:W108"/>
    <mergeCell ref="X108:Y108"/>
    <mergeCell ref="C127:O127"/>
    <mergeCell ref="P127:W127"/>
    <mergeCell ref="X127:Y127"/>
    <mergeCell ref="D125:O126"/>
    <mergeCell ref="Q126:W126"/>
    <mergeCell ref="X126:Y126"/>
    <mergeCell ref="A119:Y119"/>
    <mergeCell ref="B120:O120"/>
    <mergeCell ref="P121:W121"/>
    <mergeCell ref="X121:Y121"/>
    <mergeCell ref="C121:O121"/>
    <mergeCell ref="D124:O124"/>
    <mergeCell ref="D122:O123"/>
    <mergeCell ref="Q122:W122"/>
    <mergeCell ref="X122:Y122"/>
    <mergeCell ref="X124:Y124"/>
    <mergeCell ref="D112:O112"/>
    <mergeCell ref="X112:Y112"/>
    <mergeCell ref="D92:O93"/>
    <mergeCell ref="D94:O95"/>
    <mergeCell ref="Q105:W105"/>
    <mergeCell ref="X105:Y105"/>
    <mergeCell ref="D104:O104"/>
    <mergeCell ref="D105:O105"/>
    <mergeCell ref="X100:Y100"/>
    <mergeCell ref="Q102:W102"/>
    <mergeCell ref="X102:Y102"/>
    <mergeCell ref="Q100:W100"/>
    <mergeCell ref="D103:O103"/>
    <mergeCell ref="P103:W103"/>
    <mergeCell ref="D98:O99"/>
    <mergeCell ref="P98:W99"/>
    <mergeCell ref="D102:O102"/>
    <mergeCell ref="D101:O101"/>
    <mergeCell ref="D100:O100"/>
    <mergeCell ref="C97:O97"/>
    <mergeCell ref="P97:Y97"/>
    <mergeCell ref="D96:O96"/>
    <mergeCell ref="X98:Y99"/>
    <mergeCell ref="Q101:W101"/>
    <mergeCell ref="X101:Y101"/>
    <mergeCell ref="AD74:AP74"/>
    <mergeCell ref="P74:W74"/>
    <mergeCell ref="X74:Y74"/>
    <mergeCell ref="X72:Y72"/>
    <mergeCell ref="X73:Y73"/>
    <mergeCell ref="C71:O71"/>
    <mergeCell ref="Q71:W71"/>
    <mergeCell ref="Q72:W72"/>
    <mergeCell ref="Q73:W73"/>
    <mergeCell ref="F8:S9"/>
    <mergeCell ref="C74:O74"/>
    <mergeCell ref="X87:Y87"/>
    <mergeCell ref="D90:O90"/>
    <mergeCell ref="X86:Y86"/>
    <mergeCell ref="Q88:W88"/>
    <mergeCell ref="X88:Y88"/>
    <mergeCell ref="Q90:W90"/>
    <mergeCell ref="X55:Y55"/>
    <mergeCell ref="Q57:W57"/>
    <mergeCell ref="C55:O55"/>
    <mergeCell ref="X60:Y60"/>
    <mergeCell ref="C60:O60"/>
    <mergeCell ref="P60:W60"/>
    <mergeCell ref="C61:O62"/>
    <mergeCell ref="X57:Y57"/>
    <mergeCell ref="C65:O65"/>
    <mergeCell ref="P65:W65"/>
    <mergeCell ref="X65:Y65"/>
    <mergeCell ref="Q81:W81"/>
    <mergeCell ref="X81:Y81"/>
    <mergeCell ref="B79:M79"/>
    <mergeCell ref="D87:O87"/>
    <mergeCell ref="D88:O89"/>
    <mergeCell ref="A451:O451"/>
    <mergeCell ref="P451:W451"/>
    <mergeCell ref="X451:Y451"/>
    <mergeCell ref="B452:O454"/>
    <mergeCell ref="B455:O456"/>
    <mergeCell ref="B457:O458"/>
    <mergeCell ref="X63:Y63"/>
    <mergeCell ref="X85:Y85"/>
    <mergeCell ref="X76:Y76"/>
    <mergeCell ref="Q77:W77"/>
    <mergeCell ref="X77:Y77"/>
    <mergeCell ref="P80:W80"/>
    <mergeCell ref="X80:Y80"/>
    <mergeCell ref="C80:O80"/>
    <mergeCell ref="C75:O76"/>
    <mergeCell ref="C77:O78"/>
    <mergeCell ref="Q75:W75"/>
    <mergeCell ref="Q76:W76"/>
    <mergeCell ref="D81:O82"/>
    <mergeCell ref="D83:O84"/>
    <mergeCell ref="D85:O85"/>
    <mergeCell ref="P86:W86"/>
    <mergeCell ref="C67:O68"/>
    <mergeCell ref="C66:O66"/>
    <mergeCell ref="A450:Y450"/>
    <mergeCell ref="C424:O426"/>
    <mergeCell ref="A437:O437"/>
    <mergeCell ref="P437:W437"/>
    <mergeCell ref="X437:Y437"/>
    <mergeCell ref="B438:O438"/>
    <mergeCell ref="A435:Y435"/>
    <mergeCell ref="A436:Y436"/>
    <mergeCell ref="B439:O439"/>
    <mergeCell ref="B440:O440"/>
    <mergeCell ref="X439:Y440"/>
    <mergeCell ref="B441:O441"/>
    <mergeCell ref="B442:O442"/>
    <mergeCell ref="Q426:W426"/>
    <mergeCell ref="X426:Y426"/>
    <mergeCell ref="P439:P440"/>
    <mergeCell ref="Q439:W440"/>
    <mergeCell ref="B427:O427"/>
    <mergeCell ref="P427:W427"/>
    <mergeCell ref="X427:Y427"/>
    <mergeCell ref="C428:O428"/>
    <mergeCell ref="C429:O430"/>
    <mergeCell ref="C431:O432"/>
    <mergeCell ref="C433:O434"/>
    <mergeCell ref="AG429:AQ429"/>
    <mergeCell ref="AG433:AQ433"/>
    <mergeCell ref="AG434:AQ434"/>
    <mergeCell ref="AG428:AQ428"/>
    <mergeCell ref="AG416:AQ416"/>
    <mergeCell ref="AG419:AQ419"/>
    <mergeCell ref="AG427:AQ427"/>
    <mergeCell ref="AG412:AQ412"/>
    <mergeCell ref="A406:Y406"/>
    <mergeCell ref="A407:M407"/>
    <mergeCell ref="N407:Y407"/>
    <mergeCell ref="AG407:AQ407"/>
    <mergeCell ref="AG408:AQ408"/>
    <mergeCell ref="AG409:AQ409"/>
    <mergeCell ref="P408:W408"/>
    <mergeCell ref="X408:Y408"/>
    <mergeCell ref="C409:O411"/>
    <mergeCell ref="C412:O414"/>
    <mergeCell ref="B408:O408"/>
    <mergeCell ref="C421:O423"/>
    <mergeCell ref="X428:Y428"/>
    <mergeCell ref="Q434:W434"/>
    <mergeCell ref="X434:Y434"/>
    <mergeCell ref="X431:Y431"/>
    <mergeCell ref="AG400:AQ400"/>
    <mergeCell ref="AG402:AQ402"/>
    <mergeCell ref="AG397:AQ397"/>
    <mergeCell ref="AE398:BB398"/>
    <mergeCell ref="AE393:BB393"/>
    <mergeCell ref="AG394:AQ394"/>
    <mergeCell ref="AG395:AQ395"/>
    <mergeCell ref="B394:O394"/>
    <mergeCell ref="B395:O395"/>
    <mergeCell ref="B396:O397"/>
    <mergeCell ref="B398:O399"/>
    <mergeCell ref="B400:O401"/>
    <mergeCell ref="B402:O405"/>
    <mergeCell ref="S323:T323"/>
    <mergeCell ref="S321:T321"/>
    <mergeCell ref="C332:O334"/>
    <mergeCell ref="X334:Y334"/>
    <mergeCell ref="Q334:W334"/>
    <mergeCell ref="X328:Y328"/>
    <mergeCell ref="Q331:W331"/>
    <mergeCell ref="X331:Y331"/>
    <mergeCell ref="B335:O335"/>
    <mergeCell ref="B324:O324"/>
    <mergeCell ref="P324:W324"/>
    <mergeCell ref="X324:Y324"/>
    <mergeCell ref="C325:O326"/>
    <mergeCell ref="C327:O331"/>
    <mergeCell ref="X325:Y325"/>
    <mergeCell ref="Q322:W322"/>
    <mergeCell ref="X322:Y322"/>
    <mergeCell ref="P91:W91"/>
    <mergeCell ref="X91:Y91"/>
    <mergeCell ref="C91:O91"/>
    <mergeCell ref="B50:O50"/>
    <mergeCell ref="A48:Y48"/>
    <mergeCell ref="A49:M49"/>
    <mergeCell ref="N49:Y49"/>
    <mergeCell ref="X67:Y67"/>
    <mergeCell ref="X68:Y68"/>
    <mergeCell ref="X66:Y66"/>
    <mergeCell ref="C63:O64"/>
    <mergeCell ref="Q63:W63"/>
    <mergeCell ref="C56:O57"/>
    <mergeCell ref="C72:O73"/>
    <mergeCell ref="X51:Y51"/>
    <mergeCell ref="P51:W51"/>
    <mergeCell ref="C86:O86"/>
    <mergeCell ref="Q66:W66"/>
    <mergeCell ref="Q67:W67"/>
    <mergeCell ref="Q68:W68"/>
    <mergeCell ref="B69:O69"/>
    <mergeCell ref="P69:Y69"/>
    <mergeCell ref="N79:Y79"/>
    <mergeCell ref="X90:Y90"/>
    <mergeCell ref="A3:E9"/>
    <mergeCell ref="U3:X3"/>
    <mergeCell ref="T4:Y4"/>
    <mergeCell ref="T6:Y6"/>
    <mergeCell ref="U8:X8"/>
    <mergeCell ref="T9:Y9"/>
    <mergeCell ref="Q83:W83"/>
    <mergeCell ref="X83:Y83"/>
    <mergeCell ref="C70:O70"/>
    <mergeCell ref="P70:W70"/>
    <mergeCell ref="X70:Y70"/>
    <mergeCell ref="X71:Y71"/>
    <mergeCell ref="X75:Y75"/>
    <mergeCell ref="C51:O51"/>
    <mergeCell ref="X53:Y53"/>
    <mergeCell ref="X61:Y61"/>
    <mergeCell ref="X62:Y62"/>
    <mergeCell ref="C52:O54"/>
    <mergeCell ref="A11:Y11"/>
    <mergeCell ref="A12:Y12"/>
    <mergeCell ref="A15:Y15"/>
    <mergeCell ref="A16:Y16"/>
    <mergeCell ref="A19:Y19"/>
    <mergeCell ref="A22:U22"/>
    <mergeCell ref="Q85:W85"/>
    <mergeCell ref="F4:S5"/>
    <mergeCell ref="F6:S7"/>
    <mergeCell ref="C166:O169"/>
    <mergeCell ref="P166:W169"/>
    <mergeCell ref="X166:Y169"/>
    <mergeCell ref="D109:O111"/>
    <mergeCell ref="P109:P111"/>
    <mergeCell ref="Q109:W111"/>
    <mergeCell ref="X109:Y111"/>
    <mergeCell ref="Q53:W53"/>
    <mergeCell ref="Q55:W55"/>
    <mergeCell ref="Q61:W61"/>
    <mergeCell ref="Q62:W62"/>
    <mergeCell ref="C58:O59"/>
    <mergeCell ref="X103:Y103"/>
    <mergeCell ref="Q104:W104"/>
    <mergeCell ref="X104:Y104"/>
    <mergeCell ref="X92:Y92"/>
    <mergeCell ref="Q94:W94"/>
    <mergeCell ref="X94:Y94"/>
    <mergeCell ref="Q96:W96"/>
    <mergeCell ref="X96:Y96"/>
    <mergeCell ref="D106:O106"/>
    <mergeCell ref="Q106:W106"/>
    <mergeCell ref="X106:Y106"/>
    <mergeCell ref="D164:O164"/>
    <mergeCell ref="B165:O165"/>
    <mergeCell ref="P165:Y165"/>
    <mergeCell ref="Q112:W112"/>
    <mergeCell ref="P113:W113"/>
    <mergeCell ref="X113:Y113"/>
    <mergeCell ref="C113:O113"/>
    <mergeCell ref="D114:O115"/>
    <mergeCell ref="Q118:W118"/>
    <mergeCell ref="X118:Y118"/>
    <mergeCell ref="X116:Y116"/>
    <mergeCell ref="D116:O118"/>
    <mergeCell ref="Q114:W114"/>
    <mergeCell ref="X114:Y114"/>
    <mergeCell ref="X144:Y144"/>
    <mergeCell ref="B143:O143"/>
    <mergeCell ref="P143:Y143"/>
    <mergeCell ref="C153:O153"/>
    <mergeCell ref="Q164:W164"/>
    <mergeCell ref="X164:Y164"/>
    <mergeCell ref="C107:O107"/>
    <mergeCell ref="D108:O108"/>
    <mergeCell ref="D182:O184"/>
    <mergeCell ref="X171:Y171"/>
    <mergeCell ref="Q174:W174"/>
    <mergeCell ref="X174:Y174"/>
    <mergeCell ref="Q180:W180"/>
    <mergeCell ref="X180:Y180"/>
    <mergeCell ref="Q178:W178"/>
    <mergeCell ref="X178:Y178"/>
    <mergeCell ref="Q183:W183"/>
    <mergeCell ref="X183:Y183"/>
    <mergeCell ref="Q177:W177"/>
    <mergeCell ref="X177:Y177"/>
    <mergeCell ref="D177:O178"/>
    <mergeCell ref="D179:O181"/>
    <mergeCell ref="D170:O173"/>
    <mergeCell ref="D174:O176"/>
    <mergeCell ref="C185:O187"/>
    <mergeCell ref="P185:W187"/>
    <mergeCell ref="X185:Y187"/>
    <mergeCell ref="D188:O189"/>
    <mergeCell ref="D190:O191"/>
    <mergeCell ref="X188:Y188"/>
    <mergeCell ref="Q191:W191"/>
    <mergeCell ref="X191:Y191"/>
    <mergeCell ref="P189:P190"/>
    <mergeCell ref="Q189:W190"/>
    <mergeCell ref="X189:Y190"/>
    <mergeCell ref="P192:W192"/>
    <mergeCell ref="X192:Y192"/>
    <mergeCell ref="B192:O192"/>
    <mergeCell ref="X193:Y193"/>
    <mergeCell ref="Q198:W198"/>
    <mergeCell ref="X198:Y198"/>
    <mergeCell ref="P195:P196"/>
    <mergeCell ref="Q195:W196"/>
    <mergeCell ref="X195:Y196"/>
    <mergeCell ref="C193:O194"/>
    <mergeCell ref="C195:O196"/>
    <mergeCell ref="C197:O198"/>
    <mergeCell ref="X219:Y219"/>
    <mergeCell ref="P221:P222"/>
    <mergeCell ref="Q221:W222"/>
    <mergeCell ref="P199:W199"/>
    <mergeCell ref="X199:Y199"/>
    <mergeCell ref="C200:O202"/>
    <mergeCell ref="C203:O204"/>
    <mergeCell ref="C205:O207"/>
    <mergeCell ref="X200:Y200"/>
    <mergeCell ref="Q207:W207"/>
    <mergeCell ref="X207:Y207"/>
    <mergeCell ref="P203:P204"/>
    <mergeCell ref="Q203:W204"/>
    <mergeCell ref="X203:Y204"/>
    <mergeCell ref="B199:O199"/>
    <mergeCell ref="X254:Y254"/>
    <mergeCell ref="C255:O257"/>
    <mergeCell ref="C258:O259"/>
    <mergeCell ref="A226:O226"/>
    <mergeCell ref="B227:O228"/>
    <mergeCell ref="A225:Y225"/>
    <mergeCell ref="A224:Y224"/>
    <mergeCell ref="B208:O208"/>
    <mergeCell ref="P208:W208"/>
    <mergeCell ref="X208:Y208"/>
    <mergeCell ref="C209:O210"/>
    <mergeCell ref="C211:O212"/>
    <mergeCell ref="C213:O215"/>
    <mergeCell ref="X209:Y209"/>
    <mergeCell ref="P211:P212"/>
    <mergeCell ref="X211:Y212"/>
    <mergeCell ref="Q211:W212"/>
    <mergeCell ref="X214:Y214"/>
    <mergeCell ref="A218:O218"/>
    <mergeCell ref="P218:W218"/>
    <mergeCell ref="X218:Y218"/>
    <mergeCell ref="B223:O223"/>
    <mergeCell ref="B219:O220"/>
    <mergeCell ref="B221:O222"/>
    <mergeCell ref="C260:O261"/>
    <mergeCell ref="X255:Y255"/>
    <mergeCell ref="Q257:W257"/>
    <mergeCell ref="X257:Y257"/>
    <mergeCell ref="Q261:W261"/>
    <mergeCell ref="X261:Y261"/>
    <mergeCell ref="X259:Y259"/>
    <mergeCell ref="Q217:W217"/>
    <mergeCell ref="X217:Y217"/>
    <mergeCell ref="Q223:W223"/>
    <mergeCell ref="X223:Y223"/>
    <mergeCell ref="B229:O231"/>
    <mergeCell ref="P226:W226"/>
    <mergeCell ref="X226:Y226"/>
    <mergeCell ref="X227:Y227"/>
    <mergeCell ref="Q231:W231"/>
    <mergeCell ref="X231:Y231"/>
    <mergeCell ref="X229:Y229"/>
    <mergeCell ref="X221:Y222"/>
    <mergeCell ref="X220:Y220"/>
    <mergeCell ref="Q220:W220"/>
    <mergeCell ref="C216:O217"/>
    <mergeCell ref="B254:O254"/>
    <mergeCell ref="P254:W254"/>
    <mergeCell ref="A345:O345"/>
    <mergeCell ref="B346:O346"/>
    <mergeCell ref="P346:W346"/>
    <mergeCell ref="X346:Y346"/>
    <mergeCell ref="C347:O349"/>
    <mergeCell ref="C350:O351"/>
    <mergeCell ref="C352:O354"/>
    <mergeCell ref="C265:O266"/>
    <mergeCell ref="C267:O269"/>
    <mergeCell ref="X288:Y288"/>
    <mergeCell ref="A288:O288"/>
    <mergeCell ref="P288:W288"/>
    <mergeCell ref="B270:O270"/>
    <mergeCell ref="P270:W270"/>
    <mergeCell ref="X270:Y270"/>
    <mergeCell ref="C271:O272"/>
    <mergeCell ref="C273:O276"/>
    <mergeCell ref="C277:O279"/>
    <mergeCell ref="X271:Y271"/>
    <mergeCell ref="Q279:W279"/>
    <mergeCell ref="X279:Y279"/>
    <mergeCell ref="P273:P274"/>
    <mergeCell ref="Q273:W274"/>
    <mergeCell ref="X273:Y274"/>
    <mergeCell ref="B374:O374"/>
    <mergeCell ref="P374:W374"/>
    <mergeCell ref="X374:Y374"/>
    <mergeCell ref="C365:O367"/>
    <mergeCell ref="C368:O370"/>
    <mergeCell ref="C371:O373"/>
    <mergeCell ref="X347:Y347"/>
    <mergeCell ref="Q352:W352"/>
    <mergeCell ref="X352:Y352"/>
    <mergeCell ref="Q356:W357"/>
    <mergeCell ref="X356:Y357"/>
    <mergeCell ref="Q362:W362"/>
    <mergeCell ref="X362:Y362"/>
    <mergeCell ref="Q366:W366"/>
    <mergeCell ref="X366:Y366"/>
    <mergeCell ref="Q370:W370"/>
    <mergeCell ref="X370:Y370"/>
    <mergeCell ref="Q373:W373"/>
    <mergeCell ref="X373:Y373"/>
    <mergeCell ref="P356:P357"/>
    <mergeCell ref="X388:Y389"/>
    <mergeCell ref="Q391:W391"/>
    <mergeCell ref="X391:Y391"/>
    <mergeCell ref="C375:O378"/>
    <mergeCell ref="C379:O381"/>
    <mergeCell ref="C382:O384"/>
    <mergeCell ref="X375:Y375"/>
    <mergeCell ref="Q384:W384"/>
    <mergeCell ref="X384:Y384"/>
    <mergeCell ref="P379:P380"/>
    <mergeCell ref="Q379:W380"/>
    <mergeCell ref="X379:Y380"/>
    <mergeCell ref="A402:A405"/>
    <mergeCell ref="P393:W393"/>
    <mergeCell ref="X393:Y393"/>
    <mergeCell ref="A393:O393"/>
    <mergeCell ref="X394:Y394"/>
    <mergeCell ref="Q401:W401"/>
    <mergeCell ref="X401:Y401"/>
    <mergeCell ref="Q405:W405"/>
    <mergeCell ref="X405:Y405"/>
    <mergeCell ref="P397:P398"/>
    <mergeCell ref="Q397:W398"/>
    <mergeCell ref="X397:Y398"/>
    <mergeCell ref="B459:O461"/>
    <mergeCell ref="B464:O465"/>
    <mergeCell ref="B466:O468"/>
    <mergeCell ref="X452:Y452"/>
    <mergeCell ref="X459:Y459"/>
    <mergeCell ref="X468:Y468"/>
    <mergeCell ref="B233:O236"/>
    <mergeCell ref="B237:O238"/>
    <mergeCell ref="B239:O239"/>
    <mergeCell ref="B240:O241"/>
    <mergeCell ref="B242:O243"/>
    <mergeCell ref="X233:Y233"/>
    <mergeCell ref="X238:Y238"/>
    <mergeCell ref="Q243:W243"/>
    <mergeCell ref="X243:Y243"/>
    <mergeCell ref="B385:O385"/>
    <mergeCell ref="P385:W385"/>
    <mergeCell ref="X385:Y385"/>
    <mergeCell ref="C386:O387"/>
    <mergeCell ref="C388:O389"/>
    <mergeCell ref="C390:O391"/>
    <mergeCell ref="X386:Y386"/>
    <mergeCell ref="P388:P389"/>
    <mergeCell ref="Q388:W389"/>
    <mergeCell ref="A24:Y24"/>
    <mergeCell ref="B25:Y25"/>
    <mergeCell ref="B26:Y26"/>
    <mergeCell ref="B44:Y44"/>
    <mergeCell ref="B45:Y45"/>
    <mergeCell ref="B46:Y46"/>
    <mergeCell ref="A47:Y47"/>
    <mergeCell ref="B27:Y27"/>
    <mergeCell ref="B28:Y28"/>
    <mergeCell ref="B29:Y29"/>
    <mergeCell ref="B30:Y30"/>
    <mergeCell ref="A39:Y39"/>
    <mergeCell ref="B40:Y40"/>
    <mergeCell ref="B41:Y41"/>
    <mergeCell ref="B42:Y42"/>
    <mergeCell ref="B43:Y43"/>
    <mergeCell ref="A32:Y32"/>
    <mergeCell ref="B33:Y33"/>
    <mergeCell ref="B34:Y34"/>
    <mergeCell ref="B35:Y35"/>
    <mergeCell ref="B36:Y36"/>
    <mergeCell ref="B37:Y37"/>
  </mergeCells>
  <dataValidations disablePrompts="1" count="1">
    <dataValidation type="list" allowBlank="1" showInputMessage="1" showErrorMessage="1" sqref="P60 P51 P65:P66 P70 P80 P91 P98 P103 P107 P74 P113 P121 P127 P135 P144 P153 P161 P166 P185" xr:uid="{21421EEB-9E22-4C5E-A650-BE904726B132}">
      <formula1>$BA$49:$BA$50</formula1>
    </dataValidation>
  </dataValidations>
  <pageMargins left="0.19685039370078741" right="0.19685039370078741" top="0.19685039370078741" bottom="0.19685039370078741" header="0.51181102362204722" footer="0.51181102362204722"/>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Ficha Inspección BPM</vt:lpstr>
      <vt:lpstr>Hoja1</vt:lpstr>
      <vt:lpstr>Guía de Llenado</vt:lpstr>
      <vt:lpstr>'Guía de Llenado'!_Hlk66869194</vt:lpstr>
      <vt:lpstr>'Ficha Inspección BPM'!_Toc492033523</vt:lpstr>
      <vt:lpstr>'Guía de Llenado'!_Toc492033523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LEANDRO DE PADUA MERCEDES</dc:creator>
  <cp:lastModifiedBy>cerberusdemoapps@outlook.com</cp:lastModifiedBy>
  <cp:lastPrinted>2024-09-09T15:57:34Z</cp:lastPrinted>
  <dcterms:created xsi:type="dcterms:W3CDTF">2024-03-07T15:45:21Z</dcterms:created>
  <dcterms:modified xsi:type="dcterms:W3CDTF">2026-06-05T19:51:25Z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2026-05-22T00:05:14Z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88c0bba6-7627-40d9-897c-ff356b035c5e</vt:lpwstr>
  </property>
  <property fmtid="{D5CDD505-2E9C-101B-9397-08002B2CF9AE}" pid="7" name="MSIP_Label_defa4170-0d19-0005-0004-bc88714345d2_ActionId">
    <vt:lpwstr>d330889c-33bc-48ea-978a-164d65183fc2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